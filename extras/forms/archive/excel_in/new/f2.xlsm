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390" yWindow="90" windowWidth="10860" windowHeight="12570"/>
  </bookViews>
  <sheets>
    <sheet name="F2" sheetId="4" r:id="rId1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 localSheetId="0">#REF!</definedName>
    <definedName name="q">#REF!</definedName>
    <definedName name="вп">#REF!</definedName>
    <definedName name="_xlnm.Print_Area" localSheetId="0">'F2'!$A$1:$F$96</definedName>
    <definedName name="ф77" localSheetId="0">#REF!</definedName>
    <definedName name="ф77">#REF!</definedName>
  </definedNames>
  <calcPr calcId="125725"/>
</workbook>
</file>

<file path=xl/calcChain.xml><?xml version="1.0" encoding="utf-8"?>
<calcChain xmlns="http://schemas.openxmlformats.org/spreadsheetml/2006/main">
  <c r="D60" i="4"/>
  <c r="F60"/>
  <c r="E60"/>
  <c r="C60"/>
  <c r="D44"/>
  <c r="E44"/>
  <c r="F44"/>
  <c r="C44"/>
  <c r="F20"/>
  <c r="D20"/>
  <c r="C20"/>
  <c r="C11"/>
  <c r="D11"/>
  <c r="E11"/>
  <c r="F11"/>
  <c r="E20"/>
  <c r="C31"/>
  <c r="D31"/>
  <c r="E31"/>
  <c r="F31"/>
  <c r="C39"/>
  <c r="D39"/>
  <c r="E39"/>
  <c r="F39"/>
  <c r="C52"/>
  <c r="D52"/>
  <c r="E52"/>
  <c r="F52"/>
  <c r="C68"/>
  <c r="D68"/>
  <c r="E68"/>
  <c r="F68"/>
  <c r="C75"/>
  <c r="D75"/>
  <c r="E75"/>
  <c r="F75"/>
  <c r="D83" l="1"/>
  <c r="C83"/>
  <c r="C50"/>
  <c r="E50"/>
  <c r="F83"/>
  <c r="D50"/>
  <c r="F50"/>
  <c r="E83"/>
  <c r="E85" l="1"/>
  <c r="E88" s="1"/>
  <c r="E92" s="1"/>
  <c r="E95" s="1"/>
  <c r="D85"/>
  <c r="D88" s="1"/>
  <c r="D92" s="1"/>
  <c r="D95" s="1"/>
  <c r="C85"/>
  <c r="C88" s="1"/>
  <c r="C92" s="1"/>
  <c r="C95" s="1"/>
  <c r="F85"/>
  <c r="F88" s="1"/>
  <c r="F92" s="1"/>
  <c r="F95" s="1"/>
</calcChain>
</file>

<file path=xl/sharedStrings.xml><?xml version="1.0" encoding="utf-8"?>
<sst xmlns="http://schemas.openxmlformats.org/spreadsheetml/2006/main" count="146" uniqueCount="139">
  <si>
    <t>Место для печати</t>
  </si>
  <si>
    <t>Телефон</t>
  </si>
  <si>
    <t>дата __________________</t>
  </si>
  <si>
    <t xml:space="preserve">Исполнитель                 ______________________  </t>
  </si>
  <si>
    <t>Главный бухгалтер      _____________________</t>
  </si>
  <si>
    <t>Первый руководитель (на период его отсутствия - лицо, его замещающее) _____________________</t>
  </si>
  <si>
    <t>Итого чистая прибыль (убыток) за период (стр.22+/- стр.23-стр.24)</t>
  </si>
  <si>
    <t>Прибыль (убыток) от прекращенной деятельности</t>
  </si>
  <si>
    <t>Чистая прибыль (убыток) после уплаты  корпоративного подоходного налога (стр.20 - стр.21)</t>
  </si>
  <si>
    <t>Корпоративный подоходный налог</t>
  </si>
  <si>
    <t>Чистая прибыль (убыток) до уплаты корпоративного подоходного налога  (стр. 18 - стр. 19)</t>
  </si>
  <si>
    <t>19</t>
  </si>
  <si>
    <t xml:space="preserve">Резервы (восстановление резервов) на возможные потери по операциям </t>
  </si>
  <si>
    <t>18</t>
  </si>
  <si>
    <t>Прибыль (убыток) до отчисления в резервы (провизии) (стр.10 - стр.17)</t>
  </si>
  <si>
    <t>Итого расходов (сумма строк с 11 по 16)</t>
  </si>
  <si>
    <t>Прочие расходы</t>
  </si>
  <si>
    <t>Расходы от реализации или безвозмездной передачи активов</t>
  </si>
  <si>
    <t>14.4</t>
  </si>
  <si>
    <t xml:space="preserve">   расходы по уплате налогов и других обязательных платежей в бюджет, за исключением корпоративного подоходного налога </t>
  </si>
  <si>
    <t>14.3</t>
  </si>
  <si>
    <t xml:space="preserve">   расходы на материалы</t>
  </si>
  <si>
    <t>14.2</t>
  </si>
  <si>
    <t xml:space="preserve">   амортизационные отчисления</t>
  </si>
  <si>
    <t>14.1</t>
  </si>
  <si>
    <t xml:space="preserve">   расходы на оплату труда и командировочные</t>
  </si>
  <si>
    <t>из них:</t>
  </si>
  <si>
    <t>Операционные расходы</t>
  </si>
  <si>
    <t>13.5</t>
  </si>
  <si>
    <t xml:space="preserve">   расходы от осуществления инкассации</t>
  </si>
  <si>
    <t>13.4</t>
  </si>
  <si>
    <t xml:space="preserve">   расходы от осуществления сейфовых операций</t>
  </si>
  <si>
    <t>13.3</t>
  </si>
  <si>
    <t xml:space="preserve">   расходы от осуществления кассовых операций</t>
  </si>
  <si>
    <t>13.2</t>
  </si>
  <si>
    <t xml:space="preserve">   расходы от осуществления клиринговых операций</t>
  </si>
  <si>
    <t>13.1</t>
  </si>
  <si>
    <t xml:space="preserve">   расходы от осуществления переводных операций</t>
  </si>
  <si>
    <t>Расходы, по банковской и иной деятельности, не связанные с выплатой вознаграждения</t>
  </si>
  <si>
    <t>12.2</t>
  </si>
  <si>
    <t xml:space="preserve">   вознаграждение за кастодиальное обслуживание</t>
  </si>
  <si>
    <t>12.1</t>
  </si>
  <si>
    <t xml:space="preserve">   вознаграждение управляющему агенту</t>
  </si>
  <si>
    <t>Комиссионные расходы</t>
  </si>
  <si>
    <t>11.6</t>
  </si>
  <si>
    <t xml:space="preserve">   прочие расходы, связанные с выплатой вознаграждения</t>
  </si>
  <si>
    <t>11.5</t>
  </si>
  <si>
    <t xml:space="preserve">   по операциям «РЕПО»</t>
  </si>
  <si>
    <t>11.4</t>
  </si>
  <si>
    <t xml:space="preserve">   по выпущенным ценным бумагам</t>
  </si>
  <si>
    <t>11.3</t>
  </si>
  <si>
    <t xml:space="preserve">   по полученной финансовой аренде</t>
  </si>
  <si>
    <t>11.2</t>
  </si>
  <si>
    <t xml:space="preserve">   по полученным займам</t>
  </si>
  <si>
    <t>11.1</t>
  </si>
  <si>
    <t xml:space="preserve">   по привлеченным вкладам</t>
  </si>
  <si>
    <t>в том числе:</t>
  </si>
  <si>
    <t>Расходы, связанные с выплатой вознаграждения</t>
  </si>
  <si>
    <t>Итого доходов (сумма строк с 1 по 9)</t>
  </si>
  <si>
    <t>Прочие доходы</t>
  </si>
  <si>
    <t>Доходы от реализации (выбытия) активов</t>
  </si>
  <si>
    <t>Доходы, связанные с участием в ассоциированных организациях</t>
  </si>
  <si>
    <t>Доходы (расходы) от переоценки иностранной валюты (нетто)</t>
  </si>
  <si>
    <t>4.2</t>
  </si>
  <si>
    <t xml:space="preserve">   доходы (расходы) от изменения стоимости финансовых активов, оцениваемых по справедливой стоимости, изменения которой отражаются в составе прибыли или убытка (нетто)</t>
  </si>
  <si>
    <t>4.1</t>
  </si>
  <si>
    <t xml:space="preserve">   доходы (расходы) от купли/продажи финансовых активов (нетто)</t>
  </si>
  <si>
    <t xml:space="preserve">из них:  </t>
  </si>
  <si>
    <t>Доходы (расходы) по финансовым активам (нетто)</t>
  </si>
  <si>
    <t>3.6</t>
  </si>
  <si>
    <t xml:space="preserve">   прочие доходы от банковской и иной деятельности, не связанные с получением вознаграждения</t>
  </si>
  <si>
    <t>3.5</t>
  </si>
  <si>
    <t xml:space="preserve">   доходы от инкассации</t>
  </si>
  <si>
    <t>3.4</t>
  </si>
  <si>
    <t xml:space="preserve">   доходы от осуществления сейфовых операций</t>
  </si>
  <si>
    <t>3.3</t>
  </si>
  <si>
    <t xml:space="preserve">   доходы от осуществления кассовых операций</t>
  </si>
  <si>
    <t>3.2</t>
  </si>
  <si>
    <t xml:space="preserve">   доходы от осуществления клиринговых операций</t>
  </si>
  <si>
    <t>3.1</t>
  </si>
  <si>
    <t xml:space="preserve">   доходы от осуществления переводных операций</t>
  </si>
  <si>
    <t>Доходы от осуществления банковской и иной деятельности, не связанные с получением вознаграждения</t>
  </si>
  <si>
    <t>2.2</t>
  </si>
  <si>
    <t xml:space="preserve">    от инвестиционного дохода (убытка) по пенсионным активам</t>
  </si>
  <si>
    <t>2.1</t>
  </si>
  <si>
    <t xml:space="preserve">    от пенсионных активов          </t>
  </si>
  <si>
    <t>Комиссионные вознаграждения</t>
  </si>
  <si>
    <t>1.7</t>
  </si>
  <si>
    <t xml:space="preserve">   прочие доходы, связанные с получением вознаграждения</t>
  </si>
  <si>
    <t>1.6</t>
  </si>
  <si>
    <t xml:space="preserve">   по операциям «обратное РЕПО»</t>
  </si>
  <si>
    <t>1.5</t>
  </si>
  <si>
    <t xml:space="preserve">   по приобретенным ценным бумагам</t>
  </si>
  <si>
    <t>1.4</t>
  </si>
  <si>
    <t xml:space="preserve">   по предоставленной финансовой аренде</t>
  </si>
  <si>
    <t>1.3</t>
  </si>
  <si>
    <t xml:space="preserve">   по предоставленным займам (микрокредитам)</t>
  </si>
  <si>
    <t>1.2</t>
  </si>
  <si>
    <t xml:space="preserve">   по размещенным вкладам</t>
  </si>
  <si>
    <t>1.1</t>
  </si>
  <si>
    <t xml:space="preserve">   по корреспондентским и текущим счетам</t>
  </si>
  <si>
    <t>Доходы, связанные с получением вознаграждения:</t>
  </si>
  <si>
    <t>За аналогичный период с начала предыдущего года (с нарастающим итогом)</t>
  </si>
  <si>
    <t>За аналогичный   период предыдущего года</t>
  </si>
  <si>
    <t>За период с начала текущего года (с нарастающим итогом)</t>
  </si>
  <si>
    <t>За отчетный период</t>
  </si>
  <si>
    <t>Код строки</t>
  </si>
  <si>
    <t>Наименование статьи</t>
  </si>
  <si>
    <t>(в тысячах тенге)</t>
  </si>
  <si>
    <t>по состоянию на «___» «_________________» 20__ года</t>
  </si>
  <si>
    <t>(полное наименование организации)</t>
  </si>
  <si>
    <t>______________________________________________________________________</t>
  </si>
  <si>
    <t>Отчет о прибылях и убытках</t>
  </si>
  <si>
    <t xml:space="preserve">Приложение 11 
к постановлению Правления 
Национального Банка 
Республики Казахстан 
от 27 мая 2013 года № 130 
</t>
  </si>
  <si>
    <t xml:space="preserve">    от оказания консалтинговых услуг</t>
  </si>
  <si>
    <t xml:space="preserve">    от услуг представителя держателей облигаций</t>
  </si>
  <si>
    <t xml:space="preserve">    от услуг андеррайтера</t>
  </si>
  <si>
    <t xml:space="preserve">    от управления активами</t>
  </si>
  <si>
    <t xml:space="preserve">   от оказания брокерских услуг</t>
  </si>
  <si>
    <t xml:space="preserve">   от оказания услуг маркет-мейкера</t>
  </si>
  <si>
    <t xml:space="preserve">    от оказания прочих услуг </t>
  </si>
  <si>
    <t>2.3</t>
  </si>
  <si>
    <t>2.4</t>
  </si>
  <si>
    <t>2.5</t>
  </si>
  <si>
    <t>2.6</t>
  </si>
  <si>
    <t>2.7</t>
  </si>
  <si>
    <t>2.8</t>
  </si>
  <si>
    <t>2.9</t>
  </si>
  <si>
    <t>Доходы в виде дивидендов по акциям</t>
  </si>
  <si>
    <t>По ценным бумагам, оцениваемым по справедливой стоимости</t>
  </si>
  <si>
    <t>По ценным бумагам, имеющимся в наличии для продажи</t>
  </si>
  <si>
    <t>6.1</t>
  </si>
  <si>
    <t>6.2</t>
  </si>
  <si>
    <t xml:space="preserve">   вознаграждение фондовой бирже</t>
  </si>
  <si>
    <t>12.3</t>
  </si>
  <si>
    <t xml:space="preserve">   вознаграждение за услуги регистратора</t>
  </si>
  <si>
    <t>12.4</t>
  </si>
  <si>
    <t xml:space="preserve">   вознаграждение за прочие услуги</t>
  </si>
  <si>
    <t>12.5</t>
  </si>
</sst>
</file>

<file path=xl/styles.xml><?xml version="1.0" encoding="utf-8"?>
<styleSheet xmlns="http://schemas.openxmlformats.org/spreadsheetml/2006/main">
  <numFmts count="1">
    <numFmt numFmtId="164" formatCode="_-* #,##0.00_р_._-;\-* #,##0.00_р_._-;_-* &quot;-&quot;??_р_._-;_-@_-"/>
  </numFmts>
  <fonts count="16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8"/>
      <name val="Times New Roman"/>
      <family val="1"/>
      <charset val="204"/>
    </font>
    <font>
      <sz val="8"/>
      <name val="Times New Roman"/>
      <family val="1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sz val="9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4"/>
      <name val="Cambria"/>
      <family val="1"/>
      <charset val="204"/>
      <scheme val="major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8">
    <xf numFmtId="0" fontId="0" fillId="0" borderId="0"/>
    <xf numFmtId="0" fontId="2" fillId="0" borderId="0"/>
    <xf numFmtId="0" fontId="4" fillId="0" borderId="0"/>
    <xf numFmtId="164" fontId="2" fillId="0" borderId="0" applyFont="0" applyFill="0" applyBorder="0" applyAlignment="0" applyProtection="0"/>
    <xf numFmtId="0" fontId="1" fillId="3" borderId="1" applyAlignment="0">
      <alignment horizontal="center" vertical="center" wrapText="1"/>
    </xf>
    <xf numFmtId="0" fontId="9" fillId="2" borderId="1" applyAlignment="0" applyProtection="0">
      <alignment horizontal="center" vertical="center" wrapText="1"/>
    </xf>
    <xf numFmtId="0" fontId="10" fillId="0" borderId="0"/>
    <xf numFmtId="0" fontId="11" fillId="0" borderId="0"/>
  </cellStyleXfs>
  <cellXfs count="52">
    <xf numFmtId="0" fontId="0" fillId="0" borderId="0" xfId="0"/>
    <xf numFmtId="0" fontId="3" fillId="0" borderId="0" xfId="1" applyFont="1" applyFill="1" applyAlignment="1" applyProtection="1">
      <alignment vertical="center"/>
      <protection locked="0"/>
    </xf>
    <xf numFmtId="0" fontId="3" fillId="0" borderId="0" xfId="1" applyFont="1" applyFill="1" applyAlignment="1" applyProtection="1">
      <alignment horizontal="center" vertical="center"/>
    </xf>
    <xf numFmtId="0" fontId="3" fillId="0" borderId="0" xfId="1" applyFont="1" applyFill="1" applyAlignment="1" applyProtection="1">
      <alignment vertical="center"/>
    </xf>
    <xf numFmtId="0" fontId="3" fillId="0" borderId="5" xfId="1" applyFont="1" applyFill="1" applyBorder="1" applyAlignment="1" applyProtection="1">
      <alignment horizontal="center" vertical="center"/>
      <protection locked="0"/>
    </xf>
    <xf numFmtId="0" fontId="3" fillId="0" borderId="0" xfId="1" applyFont="1" applyFill="1" applyAlignment="1" applyProtection="1">
      <alignment horizontal="center" vertical="center"/>
      <protection locked="0"/>
    </xf>
    <xf numFmtId="0" fontId="3" fillId="0" borderId="1" xfId="1" applyFont="1" applyFill="1" applyBorder="1" applyAlignment="1" applyProtection="1">
      <alignment horizontal="center" vertical="center"/>
      <protection locked="0"/>
    </xf>
    <xf numFmtId="0" fontId="3" fillId="0" borderId="1" xfId="1" applyFont="1" applyFill="1" applyBorder="1" applyAlignment="1" applyProtection="1">
      <alignment vertical="center" wrapText="1"/>
    </xf>
    <xf numFmtId="3" fontId="5" fillId="0" borderId="1" xfId="3" applyNumberFormat="1" applyFont="1" applyFill="1" applyBorder="1" applyAlignment="1" applyProtection="1">
      <alignment vertical="center"/>
      <protection locked="0"/>
    </xf>
    <xf numFmtId="0" fontId="3" fillId="0" borderId="2" xfId="1" applyFont="1" applyFill="1" applyBorder="1" applyAlignment="1" applyProtection="1">
      <alignment horizontal="center" vertical="center" wrapText="1"/>
      <protection locked="0"/>
    </xf>
    <xf numFmtId="3" fontId="3" fillId="0" borderId="1" xfId="3" applyNumberFormat="1" applyFont="1" applyFill="1" applyBorder="1" applyAlignment="1" applyProtection="1">
      <alignment vertical="center"/>
      <protection locked="0"/>
    </xf>
    <xf numFmtId="0" fontId="7" fillId="0" borderId="0" xfId="1" applyFont="1" applyFill="1" applyAlignment="1" applyProtection="1">
      <alignment vertical="center" wrapText="1" shrinkToFit="1"/>
      <protection locked="0"/>
    </xf>
    <xf numFmtId="3" fontId="3" fillId="0" borderId="0" xfId="1" applyNumberFormat="1" applyFont="1" applyFill="1" applyAlignment="1" applyProtection="1">
      <alignment vertical="center"/>
      <protection locked="0"/>
    </xf>
    <xf numFmtId="0" fontId="5" fillId="0" borderId="0" xfId="1" applyFont="1" applyFill="1" applyAlignment="1" applyProtection="1">
      <alignment horizontal="center" vertical="center" wrapText="1" shrinkToFit="1"/>
      <protection locked="0"/>
    </xf>
    <xf numFmtId="0" fontId="6" fillId="0" borderId="0" xfId="1" applyFont="1" applyFill="1" applyAlignment="1" applyProtection="1">
      <alignment vertical="center"/>
      <protection locked="0"/>
    </xf>
    <xf numFmtId="0" fontId="5" fillId="0" borderId="3" xfId="1" applyFont="1" applyFill="1" applyBorder="1" applyAlignment="1" applyProtection="1">
      <alignment vertical="center" wrapText="1"/>
    </xf>
    <xf numFmtId="0" fontId="5" fillId="0" borderId="1" xfId="1" applyFont="1" applyFill="1" applyBorder="1" applyAlignment="1" applyProtection="1">
      <alignment vertical="center" wrapText="1"/>
    </xf>
    <xf numFmtId="0" fontId="5" fillId="0" borderId="0" xfId="1" applyFont="1" applyFill="1" applyAlignment="1" applyProtection="1">
      <alignment vertical="center"/>
      <protection locked="0"/>
    </xf>
    <xf numFmtId="49" fontId="3" fillId="0" borderId="0" xfId="2" applyNumberFormat="1" applyFont="1" applyFill="1" applyAlignment="1" applyProtection="1">
      <alignment vertical="center"/>
      <protection locked="0"/>
    </xf>
    <xf numFmtId="0" fontId="3" fillId="0" borderId="0" xfId="1" applyFont="1" applyFill="1" applyBorder="1" applyAlignment="1" applyProtection="1">
      <alignment vertical="center"/>
      <protection locked="0"/>
    </xf>
    <xf numFmtId="0" fontId="13" fillId="0" borderId="0" xfId="1" applyFont="1" applyFill="1" applyAlignment="1" applyProtection="1">
      <alignment vertical="center"/>
    </xf>
    <xf numFmtId="0" fontId="13" fillId="0" borderId="0" xfId="1" applyFont="1" applyFill="1" applyAlignment="1" applyProtection="1">
      <alignment horizontal="right" vertical="center"/>
    </xf>
    <xf numFmtId="0" fontId="13" fillId="0" borderId="1" xfId="1" applyFont="1" applyFill="1" applyBorder="1" applyAlignment="1" applyProtection="1">
      <alignment vertical="center" wrapText="1"/>
    </xf>
    <xf numFmtId="0" fontId="13" fillId="0" borderId="4" xfId="1" applyFont="1" applyFill="1" applyBorder="1" applyAlignment="1" applyProtection="1">
      <alignment horizontal="center" vertical="center" wrapText="1"/>
      <protection locked="0"/>
    </xf>
    <xf numFmtId="3" fontId="14" fillId="0" borderId="1" xfId="3" applyNumberFormat="1" applyFont="1" applyFill="1" applyBorder="1" applyAlignment="1" applyProtection="1">
      <alignment vertical="center"/>
      <protection locked="0"/>
    </xf>
    <xf numFmtId="0" fontId="13" fillId="0" borderId="3" xfId="1" applyFont="1" applyFill="1" applyBorder="1" applyAlignment="1" applyProtection="1">
      <alignment vertical="center" wrapText="1"/>
    </xf>
    <xf numFmtId="0" fontId="13" fillId="0" borderId="2" xfId="1" applyFont="1" applyFill="1" applyBorder="1" applyAlignment="1" applyProtection="1">
      <alignment horizontal="center" vertical="center" wrapText="1"/>
      <protection locked="0"/>
    </xf>
    <xf numFmtId="3" fontId="13" fillId="0" borderId="1" xfId="3" applyNumberFormat="1" applyFont="1" applyFill="1" applyBorder="1" applyAlignment="1" applyProtection="1">
      <alignment vertical="center"/>
      <protection locked="0"/>
    </xf>
    <xf numFmtId="49" fontId="13" fillId="0" borderId="2" xfId="1" applyNumberFormat="1" applyFont="1" applyFill="1" applyBorder="1" applyAlignment="1" applyProtection="1">
      <alignment horizontal="center" vertical="center" wrapText="1"/>
      <protection locked="0"/>
    </xf>
    <xf numFmtId="0" fontId="13" fillId="0" borderId="3" xfId="1" applyFont="1" applyFill="1" applyBorder="1" applyAlignment="1" applyProtection="1">
      <alignment horizontal="justify" vertical="center" wrapText="1"/>
    </xf>
    <xf numFmtId="0" fontId="14" fillId="4" borderId="3" xfId="1" applyFont="1" applyFill="1" applyBorder="1" applyAlignment="1" applyProtection="1">
      <alignment vertical="center" wrapText="1"/>
    </xf>
    <xf numFmtId="0" fontId="13" fillId="4" borderId="2" xfId="1" applyFont="1" applyFill="1" applyBorder="1" applyAlignment="1" applyProtection="1">
      <alignment horizontal="center" vertical="center" wrapText="1"/>
      <protection locked="0"/>
    </xf>
    <xf numFmtId="3" fontId="14" fillId="4" borderId="1" xfId="3" applyNumberFormat="1" applyFont="1" applyFill="1" applyBorder="1" applyAlignment="1" applyProtection="1">
      <alignment vertical="center"/>
      <protection locked="0"/>
    </xf>
    <xf numFmtId="0" fontId="13" fillId="0" borderId="1" xfId="1" applyFont="1" applyFill="1" applyBorder="1" applyAlignment="1" applyProtection="1">
      <alignment horizontal="center" vertical="center"/>
      <protection locked="0"/>
    </xf>
    <xf numFmtId="0" fontId="14" fillId="4" borderId="1" xfId="1" applyFont="1" applyFill="1" applyBorder="1" applyAlignment="1" applyProtection="1">
      <alignment vertical="center" wrapText="1"/>
    </xf>
    <xf numFmtId="0" fontId="13" fillId="4" borderId="1" xfId="1" applyFont="1" applyFill="1" applyBorder="1" applyAlignment="1" applyProtection="1">
      <alignment horizontal="center" vertical="center"/>
      <protection locked="0"/>
    </xf>
    <xf numFmtId="49" fontId="13" fillId="0" borderId="1" xfId="1" applyNumberFormat="1" applyFont="1" applyFill="1" applyBorder="1" applyAlignment="1" applyProtection="1">
      <alignment horizontal="center" vertical="center"/>
      <protection locked="0"/>
    </xf>
    <xf numFmtId="0" fontId="13" fillId="0" borderId="1" xfId="1" applyFont="1" applyFill="1" applyBorder="1" applyAlignment="1" applyProtection="1">
      <alignment horizontal="justify" vertical="center" wrapText="1"/>
    </xf>
    <xf numFmtId="0" fontId="14" fillId="4" borderId="1" xfId="1" applyFont="1" applyFill="1" applyBorder="1" applyAlignment="1" applyProtection="1">
      <alignment horizontal="center" vertical="center" wrapText="1"/>
      <protection locked="0"/>
    </xf>
    <xf numFmtId="0" fontId="14" fillId="4" borderId="1" xfId="1" applyFont="1" applyFill="1" applyBorder="1" applyAlignment="1" applyProtection="1">
      <alignment horizontal="center" vertical="center"/>
      <protection locked="0"/>
    </xf>
    <xf numFmtId="0" fontId="12" fillId="0" borderId="0" xfId="1" applyFont="1" applyFill="1" applyAlignment="1" applyProtection="1">
      <alignment horizontal="right" vertical="center" wrapText="1"/>
      <protection locked="0"/>
    </xf>
    <xf numFmtId="0" fontId="12" fillId="0" borderId="0" xfId="1" applyFont="1" applyFill="1" applyAlignment="1">
      <alignment horizontal="right" vertical="center" wrapText="1"/>
    </xf>
    <xf numFmtId="0" fontId="14" fillId="5" borderId="1" xfId="1" applyFont="1" applyFill="1" applyBorder="1" applyAlignment="1" applyProtection="1">
      <alignment vertical="center" wrapText="1"/>
    </xf>
    <xf numFmtId="0" fontId="13" fillId="5" borderId="1" xfId="1" applyFont="1" applyFill="1" applyBorder="1" applyAlignment="1" applyProtection="1">
      <alignment horizontal="center" vertical="center"/>
      <protection locked="0"/>
    </xf>
    <xf numFmtId="3" fontId="14" fillId="5" borderId="1" xfId="3" applyNumberFormat="1" applyFont="1" applyFill="1" applyBorder="1" applyAlignment="1" applyProtection="1">
      <alignment vertical="center"/>
      <protection locked="0"/>
    </xf>
    <xf numFmtId="0" fontId="3" fillId="5" borderId="0" xfId="1" applyFont="1" applyFill="1" applyAlignment="1" applyProtection="1">
      <alignment vertical="center"/>
      <protection locked="0"/>
    </xf>
    <xf numFmtId="0" fontId="5" fillId="0" borderId="0" xfId="1" applyFont="1" applyFill="1" applyAlignment="1" applyProtection="1">
      <alignment horizontal="center" vertical="center"/>
      <protection locked="0"/>
    </xf>
    <xf numFmtId="0" fontId="12" fillId="0" borderId="0" xfId="1" applyFont="1" applyFill="1" applyAlignment="1" applyProtection="1">
      <alignment horizontal="right" vertical="center" wrapText="1"/>
      <protection locked="0"/>
    </xf>
    <xf numFmtId="0" fontId="12" fillId="0" borderId="0" xfId="1" applyFont="1" applyFill="1" applyAlignment="1">
      <alignment horizontal="right" vertical="center" wrapText="1"/>
    </xf>
    <xf numFmtId="0" fontId="15" fillId="0" borderId="0" xfId="1" applyFont="1" applyFill="1" applyAlignment="1" applyProtection="1">
      <alignment horizontal="center" vertical="center"/>
      <protection locked="0"/>
    </xf>
    <xf numFmtId="0" fontId="3" fillId="0" borderId="0" xfId="1" applyFont="1" applyFill="1" applyAlignment="1" applyProtection="1">
      <alignment horizontal="center" vertical="center"/>
      <protection locked="0"/>
    </xf>
    <xf numFmtId="0" fontId="8" fillId="0" borderId="0" xfId="1" applyFont="1" applyFill="1" applyAlignment="1" applyProtection="1">
      <alignment horizontal="center" vertical="center"/>
      <protection locked="0"/>
    </xf>
  </cellXfs>
  <cellStyles count="8">
    <cellStyle name="Выделеннные строки" xfId="4"/>
    <cellStyle name="Заголовок таблицы" xfId="5"/>
    <cellStyle name="Обычный" xfId="0" builtinId="0"/>
    <cellStyle name="Обычный 2" xfId="1"/>
    <cellStyle name="Обычный 3" xfId="6"/>
    <cellStyle name="Обычный_Приложения к Правилам по ИК_рус" xfId="2"/>
    <cellStyle name="Стиль 1" xfId="7"/>
    <cellStyle name="Финансовый 2" xf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36">
    <pageSetUpPr fitToPage="1"/>
  </sheetPr>
  <dimension ref="A1:I113"/>
  <sheetViews>
    <sheetView tabSelected="1" topLeftCell="A73" zoomScaleNormal="100" zoomScaleSheetLayoutView="80" workbookViewId="0">
      <selection activeCell="C93" sqref="C93:F93"/>
    </sheetView>
  </sheetViews>
  <sheetFormatPr defaultRowHeight="12.75"/>
  <cols>
    <col min="1" max="1" width="79.140625" style="1" customWidth="1"/>
    <col min="2" max="2" width="10.85546875" style="1" customWidth="1"/>
    <col min="3" max="3" width="15.28515625" style="1" customWidth="1"/>
    <col min="4" max="4" width="22.85546875" style="1" customWidth="1"/>
    <col min="5" max="5" width="19.85546875" style="1" customWidth="1"/>
    <col min="6" max="6" width="25.140625" style="1" customWidth="1"/>
    <col min="7" max="7" width="12.42578125" style="1" customWidth="1"/>
    <col min="8" max="9" width="10" style="1" customWidth="1"/>
    <col min="10" max="10" width="11.140625" style="1" customWidth="1"/>
    <col min="11" max="16384" width="9.140625" style="1"/>
  </cols>
  <sheetData>
    <row r="1" spans="1:8" ht="60.75" customHeight="1">
      <c r="E1" s="47" t="s">
        <v>113</v>
      </c>
      <c r="F1" s="48"/>
    </row>
    <row r="2" spans="1:8" ht="16.5" customHeight="1">
      <c r="E2" s="40"/>
      <c r="F2" s="41"/>
    </row>
    <row r="3" spans="1:8" ht="21" customHeight="1">
      <c r="A3" s="49" t="s">
        <v>112</v>
      </c>
      <c r="B3" s="49"/>
      <c r="C3" s="49"/>
      <c r="D3" s="49"/>
      <c r="E3" s="49"/>
      <c r="F3" s="49"/>
    </row>
    <row r="4" spans="1:8" ht="18.75" customHeight="1">
      <c r="A4" s="50" t="s">
        <v>111</v>
      </c>
      <c r="B4" s="50"/>
      <c r="C4" s="50"/>
      <c r="D4" s="50"/>
      <c r="E4" s="50"/>
      <c r="F4" s="50"/>
    </row>
    <row r="5" spans="1:8">
      <c r="A5" s="51" t="s">
        <v>110</v>
      </c>
      <c r="B5" s="51"/>
      <c r="C5" s="51"/>
      <c r="D5" s="51"/>
      <c r="E5" s="51"/>
      <c r="F5" s="51"/>
    </row>
    <row r="6" spans="1:8" ht="17.25" customHeight="1">
      <c r="A6" s="46" t="s">
        <v>109</v>
      </c>
      <c r="B6" s="46"/>
      <c r="C6" s="46"/>
      <c r="D6" s="46"/>
      <c r="E6" s="46"/>
      <c r="F6" s="46"/>
    </row>
    <row r="7" spans="1:8" s="3" customFormat="1">
      <c r="A7" s="2"/>
      <c r="B7" s="2"/>
      <c r="C7" s="2"/>
      <c r="D7" s="2"/>
      <c r="E7" s="2"/>
      <c r="F7" s="2"/>
    </row>
    <row r="8" spans="1:8" s="3" customFormat="1">
      <c r="A8" s="20"/>
      <c r="B8" s="20"/>
      <c r="C8" s="20"/>
      <c r="D8" s="20"/>
      <c r="E8" s="20"/>
      <c r="F8" s="21" t="s">
        <v>108</v>
      </c>
    </row>
    <row r="9" spans="1:8" ht="39.75" customHeight="1">
      <c r="A9" s="38" t="s">
        <v>107</v>
      </c>
      <c r="B9" s="38" t="s">
        <v>106</v>
      </c>
      <c r="C9" s="38" t="s">
        <v>105</v>
      </c>
      <c r="D9" s="38" t="s">
        <v>104</v>
      </c>
      <c r="E9" s="38" t="s">
        <v>103</v>
      </c>
      <c r="F9" s="38" t="s">
        <v>102</v>
      </c>
      <c r="G9" s="4"/>
      <c r="H9" s="5"/>
    </row>
    <row r="10" spans="1:8">
      <c r="A10" s="39">
        <v>1</v>
      </c>
      <c r="B10" s="39">
        <v>2</v>
      </c>
      <c r="C10" s="39">
        <v>3</v>
      </c>
      <c r="D10" s="39">
        <v>4</v>
      </c>
      <c r="E10" s="39">
        <v>5</v>
      </c>
      <c r="F10" s="39">
        <v>6</v>
      </c>
    </row>
    <row r="11" spans="1:8" ht="13.5" customHeight="1">
      <c r="A11" s="22" t="s">
        <v>101</v>
      </c>
      <c r="B11" s="23">
        <v>1</v>
      </c>
      <c r="C11" s="24">
        <f>SUM(C13:C19)</f>
        <v>0</v>
      </c>
      <c r="D11" s="24">
        <f>D13+D14+D15+D16+D17+D18+D19</f>
        <v>0</v>
      </c>
      <c r="E11" s="24">
        <f>E13+E14+E15+E16+E17+E18+E19</f>
        <v>0</v>
      </c>
      <c r="F11" s="24">
        <f>F13+F14+F15+F16+F17+F18+F19</f>
        <v>0</v>
      </c>
    </row>
    <row r="12" spans="1:8" ht="13.5" customHeight="1">
      <c r="A12" s="25" t="s">
        <v>56</v>
      </c>
      <c r="B12" s="26"/>
      <c r="C12" s="27"/>
      <c r="D12" s="27"/>
      <c r="E12" s="27"/>
      <c r="F12" s="27"/>
      <c r="G12" s="11"/>
      <c r="H12" s="12"/>
    </row>
    <row r="13" spans="1:8" ht="13.5" customHeight="1">
      <c r="A13" s="25" t="s">
        <v>100</v>
      </c>
      <c r="B13" s="28" t="s">
        <v>99</v>
      </c>
      <c r="C13" s="27"/>
      <c r="D13" s="27"/>
      <c r="E13" s="27"/>
      <c r="F13" s="27"/>
      <c r="G13" s="13"/>
    </row>
    <row r="14" spans="1:8" ht="13.5" customHeight="1">
      <c r="A14" s="25" t="s">
        <v>98</v>
      </c>
      <c r="B14" s="28" t="s">
        <v>97</v>
      </c>
      <c r="C14" s="27"/>
      <c r="D14" s="27"/>
      <c r="E14" s="27"/>
      <c r="F14" s="27"/>
    </row>
    <row r="15" spans="1:8" ht="13.5" customHeight="1">
      <c r="A15" s="25" t="s">
        <v>96</v>
      </c>
      <c r="B15" s="28" t="s">
        <v>95</v>
      </c>
      <c r="C15" s="27"/>
      <c r="D15" s="27"/>
      <c r="E15" s="27"/>
      <c r="F15" s="27"/>
    </row>
    <row r="16" spans="1:8" ht="13.5" customHeight="1">
      <c r="A16" s="25" t="s">
        <v>94</v>
      </c>
      <c r="B16" s="28" t="s">
        <v>93</v>
      </c>
      <c r="C16" s="27"/>
      <c r="D16" s="27"/>
      <c r="E16" s="27"/>
      <c r="F16" s="27"/>
    </row>
    <row r="17" spans="1:8" ht="13.5" customHeight="1">
      <c r="A17" s="25" t="s">
        <v>92</v>
      </c>
      <c r="B17" s="28" t="s">
        <v>91</v>
      </c>
      <c r="C17" s="27"/>
      <c r="D17" s="27"/>
      <c r="E17" s="27"/>
      <c r="F17" s="27"/>
      <c r="G17" s="11"/>
      <c r="H17" s="12"/>
    </row>
    <row r="18" spans="1:8" ht="13.5" customHeight="1">
      <c r="A18" s="25" t="s">
        <v>90</v>
      </c>
      <c r="B18" s="28" t="s">
        <v>89</v>
      </c>
      <c r="C18" s="27"/>
      <c r="D18" s="27"/>
      <c r="E18" s="27"/>
      <c r="F18" s="27"/>
    </row>
    <row r="19" spans="1:8" ht="13.5" customHeight="1">
      <c r="A19" s="25" t="s">
        <v>88</v>
      </c>
      <c r="B19" s="28" t="s">
        <v>87</v>
      </c>
      <c r="C19" s="27"/>
      <c r="D19" s="24"/>
      <c r="E19" s="24"/>
      <c r="F19" s="24"/>
      <c r="H19" s="14"/>
    </row>
    <row r="20" spans="1:8" ht="13.5" customHeight="1">
      <c r="A20" s="25" t="s">
        <v>86</v>
      </c>
      <c r="B20" s="26">
        <v>2</v>
      </c>
      <c r="C20" s="24">
        <f>SUM(C22:C30)</f>
        <v>0</v>
      </c>
      <c r="D20" s="24">
        <f>SUM(D22:D30)</f>
        <v>0</v>
      </c>
      <c r="E20" s="24">
        <f>SUM(E22:E23)</f>
        <v>0</v>
      </c>
      <c r="F20" s="24">
        <f>SUM(F22:F30)</f>
        <v>0</v>
      </c>
    </row>
    <row r="21" spans="1:8" ht="13.5" customHeight="1">
      <c r="A21" s="25" t="s">
        <v>26</v>
      </c>
      <c r="B21" s="26"/>
      <c r="C21" s="27"/>
      <c r="D21" s="27"/>
      <c r="E21" s="27"/>
      <c r="F21" s="27"/>
    </row>
    <row r="22" spans="1:8" ht="13.5" customHeight="1">
      <c r="A22" s="25" t="s">
        <v>85</v>
      </c>
      <c r="B22" s="28" t="s">
        <v>84</v>
      </c>
      <c r="C22" s="27"/>
      <c r="D22" s="27"/>
      <c r="E22" s="27"/>
      <c r="F22" s="27"/>
    </row>
    <row r="23" spans="1:8" ht="13.5" customHeight="1">
      <c r="A23" s="25" t="s">
        <v>83</v>
      </c>
      <c r="B23" s="28" t="s">
        <v>82</v>
      </c>
      <c r="C23" s="27"/>
      <c r="D23" s="27"/>
      <c r="E23" s="27"/>
      <c r="F23" s="27"/>
    </row>
    <row r="24" spans="1:8" ht="13.5" customHeight="1">
      <c r="A24" s="25" t="s">
        <v>114</v>
      </c>
      <c r="B24" s="28" t="s">
        <v>121</v>
      </c>
      <c r="C24" s="27"/>
      <c r="D24" s="27"/>
      <c r="E24" s="27"/>
      <c r="F24" s="27"/>
    </row>
    <row r="25" spans="1:8" ht="13.5" customHeight="1">
      <c r="A25" s="25" t="s">
        <v>115</v>
      </c>
      <c r="B25" s="28" t="s">
        <v>122</v>
      </c>
      <c r="C25" s="27"/>
      <c r="D25" s="27"/>
      <c r="E25" s="27"/>
      <c r="F25" s="27"/>
    </row>
    <row r="26" spans="1:8" ht="13.5" customHeight="1">
      <c r="A26" s="25" t="s">
        <v>116</v>
      </c>
      <c r="B26" s="28" t="s">
        <v>123</v>
      </c>
      <c r="C26" s="27"/>
      <c r="D26" s="27"/>
      <c r="E26" s="27"/>
      <c r="F26" s="27"/>
    </row>
    <row r="27" spans="1:8" ht="13.5" customHeight="1">
      <c r="A27" s="25" t="s">
        <v>117</v>
      </c>
      <c r="B27" s="28" t="s">
        <v>124</v>
      </c>
      <c r="C27" s="27"/>
      <c r="D27" s="27"/>
      <c r="E27" s="27"/>
      <c r="F27" s="27"/>
    </row>
    <row r="28" spans="1:8" ht="13.5" customHeight="1">
      <c r="A28" s="25" t="s">
        <v>118</v>
      </c>
      <c r="B28" s="28" t="s">
        <v>125</v>
      </c>
      <c r="C28" s="27"/>
      <c r="D28" s="27"/>
      <c r="E28" s="27"/>
      <c r="F28" s="27"/>
    </row>
    <row r="29" spans="1:8" ht="13.5" customHeight="1">
      <c r="A29" s="25" t="s">
        <v>119</v>
      </c>
      <c r="B29" s="28" t="s">
        <v>126</v>
      </c>
      <c r="C29" s="27"/>
      <c r="D29" s="27"/>
      <c r="E29" s="27"/>
      <c r="F29" s="27"/>
    </row>
    <row r="30" spans="1:8" ht="13.5" customHeight="1">
      <c r="A30" s="25" t="s">
        <v>120</v>
      </c>
      <c r="B30" s="28" t="s">
        <v>127</v>
      </c>
      <c r="C30" s="27"/>
      <c r="D30" s="27"/>
      <c r="E30" s="27"/>
      <c r="F30" s="27"/>
    </row>
    <row r="31" spans="1:8" ht="13.5" customHeight="1">
      <c r="A31" s="25" t="s">
        <v>81</v>
      </c>
      <c r="B31" s="26">
        <v>3</v>
      </c>
      <c r="C31" s="24">
        <f>C33+C34+C35+C36+C37+C38</f>
        <v>0</v>
      </c>
      <c r="D31" s="24">
        <f>D33+D34+D35+D36+D37+D38</f>
        <v>0</v>
      </c>
      <c r="E31" s="24">
        <f>E33+E34+E35+E36+E37+E38</f>
        <v>0</v>
      </c>
      <c r="F31" s="24">
        <f>F33+F34+F35+F36+F37+F38</f>
        <v>0</v>
      </c>
    </row>
    <row r="32" spans="1:8" ht="13.5" customHeight="1">
      <c r="A32" s="25" t="s">
        <v>56</v>
      </c>
      <c r="B32" s="26"/>
      <c r="C32" s="27"/>
      <c r="D32" s="27"/>
      <c r="E32" s="27"/>
      <c r="F32" s="27"/>
    </row>
    <row r="33" spans="1:6" ht="13.5" customHeight="1">
      <c r="A33" s="25" t="s">
        <v>80</v>
      </c>
      <c r="B33" s="28" t="s">
        <v>79</v>
      </c>
      <c r="C33" s="27"/>
      <c r="D33" s="27"/>
      <c r="E33" s="27"/>
      <c r="F33" s="27"/>
    </row>
    <row r="34" spans="1:6" ht="13.5" customHeight="1">
      <c r="A34" s="25" t="s">
        <v>78</v>
      </c>
      <c r="B34" s="28" t="s">
        <v>77</v>
      </c>
      <c r="C34" s="27"/>
      <c r="D34" s="27"/>
      <c r="E34" s="27"/>
      <c r="F34" s="27"/>
    </row>
    <row r="35" spans="1:6" ht="13.5" customHeight="1">
      <c r="A35" s="29" t="s">
        <v>76</v>
      </c>
      <c r="B35" s="28" t="s">
        <v>75</v>
      </c>
      <c r="C35" s="27"/>
      <c r="D35" s="27"/>
      <c r="E35" s="27"/>
      <c r="F35" s="27"/>
    </row>
    <row r="36" spans="1:6" ht="13.5" customHeight="1">
      <c r="A36" s="25" t="s">
        <v>74</v>
      </c>
      <c r="B36" s="28" t="s">
        <v>73</v>
      </c>
      <c r="C36" s="27"/>
      <c r="D36" s="27"/>
      <c r="E36" s="27"/>
      <c r="F36" s="27"/>
    </row>
    <row r="37" spans="1:6" ht="13.5" customHeight="1">
      <c r="A37" s="25" t="s">
        <v>72</v>
      </c>
      <c r="B37" s="28" t="s">
        <v>71</v>
      </c>
      <c r="C37" s="27"/>
      <c r="D37" s="27"/>
      <c r="E37" s="27"/>
      <c r="F37" s="27"/>
    </row>
    <row r="38" spans="1:6" ht="13.5" customHeight="1">
      <c r="A38" s="25" t="s">
        <v>70</v>
      </c>
      <c r="B38" s="28" t="s">
        <v>69</v>
      </c>
      <c r="C38" s="24"/>
      <c r="D38" s="24"/>
      <c r="E38" s="24"/>
      <c r="F38" s="24"/>
    </row>
    <row r="39" spans="1:6" ht="13.5" customHeight="1">
      <c r="A39" s="25" t="s">
        <v>68</v>
      </c>
      <c r="B39" s="26">
        <v>4</v>
      </c>
      <c r="C39" s="24">
        <f>C41+C42</f>
        <v>0</v>
      </c>
      <c r="D39" s="24">
        <f>SUM(D41:D42)</f>
        <v>0</v>
      </c>
      <c r="E39" s="24">
        <f>SUM(E41:E42)</f>
        <v>0</v>
      </c>
      <c r="F39" s="24">
        <f>SUM(F41:F42)</f>
        <v>0</v>
      </c>
    </row>
    <row r="40" spans="1:6" ht="13.5" customHeight="1">
      <c r="A40" s="25" t="s">
        <v>67</v>
      </c>
      <c r="B40" s="26"/>
      <c r="C40" s="27"/>
      <c r="D40" s="27"/>
      <c r="E40" s="27"/>
      <c r="F40" s="27"/>
    </row>
    <row r="41" spans="1:6" ht="13.5" customHeight="1">
      <c r="A41" s="25" t="s">
        <v>66</v>
      </c>
      <c r="B41" s="28" t="s">
        <v>65</v>
      </c>
      <c r="C41" s="27"/>
      <c r="D41" s="27"/>
      <c r="E41" s="27"/>
      <c r="F41" s="27"/>
    </row>
    <row r="42" spans="1:6" ht="13.5" customHeight="1">
      <c r="A42" s="25" t="s">
        <v>64</v>
      </c>
      <c r="B42" s="28" t="s">
        <v>63</v>
      </c>
      <c r="C42" s="27"/>
      <c r="D42" s="27"/>
      <c r="E42" s="27"/>
      <c r="F42" s="27"/>
    </row>
    <row r="43" spans="1:6" ht="13.5" customHeight="1">
      <c r="A43" s="29" t="s">
        <v>62</v>
      </c>
      <c r="B43" s="26">
        <v>5</v>
      </c>
      <c r="C43" s="24"/>
      <c r="D43" s="24"/>
      <c r="E43" s="24"/>
      <c r="F43" s="24"/>
    </row>
    <row r="44" spans="1:6" ht="13.5" customHeight="1">
      <c r="A44" s="29" t="s">
        <v>128</v>
      </c>
      <c r="B44" s="26">
        <v>6</v>
      </c>
      <c r="C44" s="24">
        <f>SUM(C45:C46)</f>
        <v>0</v>
      </c>
      <c r="D44" s="24">
        <f t="shared" ref="D44:F44" si="0">SUM(D45:D46)</f>
        <v>0</v>
      </c>
      <c r="E44" s="24">
        <f t="shared" si="0"/>
        <v>0</v>
      </c>
      <c r="F44" s="24">
        <f t="shared" si="0"/>
        <v>0</v>
      </c>
    </row>
    <row r="45" spans="1:6" ht="13.5" customHeight="1">
      <c r="A45" s="29" t="s">
        <v>129</v>
      </c>
      <c r="B45" s="28" t="s">
        <v>131</v>
      </c>
      <c r="C45" s="24"/>
      <c r="D45" s="24"/>
      <c r="E45" s="24"/>
      <c r="F45" s="24"/>
    </row>
    <row r="46" spans="1:6" ht="13.5" customHeight="1">
      <c r="A46" s="29" t="s">
        <v>130</v>
      </c>
      <c r="B46" s="28" t="s">
        <v>132</v>
      </c>
      <c r="C46" s="24"/>
      <c r="D46" s="24"/>
      <c r="E46" s="24"/>
      <c r="F46" s="24"/>
    </row>
    <row r="47" spans="1:6" ht="13.5" customHeight="1">
      <c r="A47" s="29" t="s">
        <v>61</v>
      </c>
      <c r="B47" s="26">
        <v>7</v>
      </c>
      <c r="C47" s="24"/>
      <c r="D47" s="24"/>
      <c r="E47" s="24"/>
      <c r="F47" s="24"/>
    </row>
    <row r="48" spans="1:6" ht="13.5" customHeight="1">
      <c r="A48" s="29" t="s">
        <v>60</v>
      </c>
      <c r="B48" s="26">
        <v>8</v>
      </c>
      <c r="C48" s="24"/>
      <c r="D48" s="24"/>
      <c r="E48" s="24"/>
      <c r="F48" s="24"/>
    </row>
    <row r="49" spans="1:9" ht="13.5" customHeight="1">
      <c r="A49" s="25" t="s">
        <v>59</v>
      </c>
      <c r="B49" s="26">
        <v>9</v>
      </c>
      <c r="C49" s="24"/>
      <c r="D49" s="24"/>
      <c r="E49" s="24"/>
      <c r="F49" s="24"/>
    </row>
    <row r="50" spans="1:9" ht="13.5" customHeight="1">
      <c r="A50" s="30" t="s">
        <v>58</v>
      </c>
      <c r="B50" s="31">
        <v>10</v>
      </c>
      <c r="C50" s="32">
        <f>C11+C20+C31+C39+C43+C44+C47+C48+C49</f>
        <v>0</v>
      </c>
      <c r="D50" s="32">
        <f>D11+D20+D31+D39+D43+D44+D47+D48+D49</f>
        <v>0</v>
      </c>
      <c r="E50" s="32">
        <f>E11+E20+E31+E39+E43+E44+E47+E48+E49</f>
        <v>0</v>
      </c>
      <c r="F50" s="32">
        <f>F11+F20+F31+F39+F43+F44+F47+F48+F49</f>
        <v>0</v>
      </c>
      <c r="I50" s="14"/>
    </row>
    <row r="51" spans="1:9" ht="13.5" customHeight="1">
      <c r="A51" s="15"/>
      <c r="B51" s="9"/>
      <c r="C51" s="10"/>
      <c r="D51" s="10"/>
      <c r="E51" s="10"/>
      <c r="F51" s="10"/>
    </row>
    <row r="52" spans="1:9" ht="13.5" customHeight="1">
      <c r="A52" s="25" t="s">
        <v>57</v>
      </c>
      <c r="B52" s="26">
        <v>11</v>
      </c>
      <c r="C52" s="24">
        <f>SUM(C54:C59)</f>
        <v>0</v>
      </c>
      <c r="D52" s="24">
        <f>D54+D55+D56+D57+D58+D59</f>
        <v>0</v>
      </c>
      <c r="E52" s="24">
        <f>E54+E55+E56+E57+E58+E59</f>
        <v>0</v>
      </c>
      <c r="F52" s="24">
        <f>F54+F55+F56+F57+F58+F59</f>
        <v>0</v>
      </c>
    </row>
    <row r="53" spans="1:9" ht="13.5" customHeight="1">
      <c r="A53" s="25" t="s">
        <v>56</v>
      </c>
      <c r="B53" s="26"/>
      <c r="C53" s="27"/>
      <c r="D53" s="27"/>
      <c r="E53" s="27"/>
      <c r="F53" s="27"/>
    </row>
    <row r="54" spans="1:9" ht="13.5" customHeight="1">
      <c r="A54" s="25" t="s">
        <v>55</v>
      </c>
      <c r="B54" s="28" t="s">
        <v>54</v>
      </c>
      <c r="C54" s="27"/>
      <c r="D54" s="27"/>
      <c r="E54" s="27"/>
      <c r="F54" s="27"/>
    </row>
    <row r="55" spans="1:9" ht="13.5" customHeight="1">
      <c r="A55" s="25" t="s">
        <v>53</v>
      </c>
      <c r="B55" s="28" t="s">
        <v>52</v>
      </c>
      <c r="C55" s="27"/>
      <c r="D55" s="27"/>
      <c r="E55" s="27"/>
      <c r="F55" s="27"/>
    </row>
    <row r="56" spans="1:9" ht="13.5" customHeight="1">
      <c r="A56" s="22" t="s">
        <v>51</v>
      </c>
      <c r="B56" s="28" t="s">
        <v>50</v>
      </c>
      <c r="C56" s="27"/>
      <c r="D56" s="27"/>
      <c r="E56" s="27"/>
      <c r="F56" s="27"/>
    </row>
    <row r="57" spans="1:9" ht="13.5" customHeight="1">
      <c r="A57" s="25" t="s">
        <v>49</v>
      </c>
      <c r="B57" s="28" t="s">
        <v>48</v>
      </c>
      <c r="C57" s="27"/>
      <c r="D57" s="27"/>
      <c r="E57" s="27"/>
      <c r="F57" s="27"/>
    </row>
    <row r="58" spans="1:9" ht="13.5" customHeight="1">
      <c r="A58" s="25" t="s">
        <v>47</v>
      </c>
      <c r="B58" s="28" t="s">
        <v>46</v>
      </c>
      <c r="C58" s="27"/>
      <c r="D58" s="27"/>
      <c r="E58" s="27"/>
      <c r="F58" s="27"/>
    </row>
    <row r="59" spans="1:9" ht="13.5" customHeight="1">
      <c r="A59" s="22" t="s">
        <v>45</v>
      </c>
      <c r="B59" s="28" t="s">
        <v>44</v>
      </c>
      <c r="C59" s="24"/>
      <c r="D59" s="24"/>
      <c r="E59" s="24"/>
      <c r="F59" s="24"/>
      <c r="H59" s="14"/>
    </row>
    <row r="60" spans="1:9" ht="13.5" customHeight="1">
      <c r="A60" s="22" t="s">
        <v>43</v>
      </c>
      <c r="B60" s="33">
        <v>12</v>
      </c>
      <c r="C60" s="24">
        <f>SUM(C62:C66)</f>
        <v>0</v>
      </c>
      <c r="D60" s="24">
        <f>SUM(D62:D66)</f>
        <v>0</v>
      </c>
      <c r="E60" s="24">
        <f t="shared" ref="E60" si="1">SUM(E62:E66)</f>
        <v>0</v>
      </c>
      <c r="F60" s="24">
        <f>SUM(F62:F66)</f>
        <v>0</v>
      </c>
    </row>
    <row r="61" spans="1:9" ht="13.5" customHeight="1">
      <c r="A61" s="22" t="s">
        <v>26</v>
      </c>
      <c r="B61" s="33"/>
      <c r="C61" s="27"/>
      <c r="D61" s="27"/>
      <c r="E61" s="27"/>
      <c r="F61" s="27"/>
    </row>
    <row r="62" spans="1:9" ht="13.5" customHeight="1">
      <c r="A62" s="22" t="s">
        <v>42</v>
      </c>
      <c r="B62" s="28" t="s">
        <v>41</v>
      </c>
      <c r="C62" s="27"/>
      <c r="D62" s="27"/>
      <c r="E62" s="27"/>
      <c r="F62" s="27"/>
    </row>
    <row r="63" spans="1:9" ht="13.5" customHeight="1">
      <c r="A63" s="22" t="s">
        <v>40</v>
      </c>
      <c r="B63" s="28" t="s">
        <v>39</v>
      </c>
      <c r="C63" s="27"/>
      <c r="D63" s="27"/>
      <c r="E63" s="27"/>
      <c r="F63" s="27"/>
    </row>
    <row r="64" spans="1:9" ht="13.5" customHeight="1">
      <c r="A64" s="22" t="s">
        <v>133</v>
      </c>
      <c r="B64" s="28" t="s">
        <v>134</v>
      </c>
      <c r="C64" s="27"/>
      <c r="D64" s="27"/>
      <c r="E64" s="27"/>
      <c r="F64" s="27"/>
    </row>
    <row r="65" spans="1:6" ht="13.5" customHeight="1">
      <c r="A65" s="22" t="s">
        <v>135</v>
      </c>
      <c r="B65" s="28" t="s">
        <v>136</v>
      </c>
      <c r="C65" s="27"/>
      <c r="D65" s="27"/>
      <c r="E65" s="27"/>
      <c r="F65" s="27"/>
    </row>
    <row r="66" spans="1:6" ht="13.5" customHeight="1">
      <c r="A66" s="22" t="s">
        <v>137</v>
      </c>
      <c r="B66" s="28" t="s">
        <v>138</v>
      </c>
      <c r="C66" s="27"/>
      <c r="D66" s="27"/>
      <c r="E66" s="27"/>
      <c r="F66" s="27"/>
    </row>
    <row r="67" spans="1:6" ht="13.5" customHeight="1">
      <c r="A67" s="22"/>
      <c r="B67" s="28"/>
      <c r="C67" s="27"/>
      <c r="D67" s="27"/>
      <c r="E67" s="27"/>
      <c r="F67" s="27"/>
    </row>
    <row r="68" spans="1:6" ht="13.5" customHeight="1">
      <c r="A68" s="22" t="s">
        <v>38</v>
      </c>
      <c r="B68" s="33">
        <v>13</v>
      </c>
      <c r="C68" s="24">
        <f>SUM(C69:C74)</f>
        <v>0</v>
      </c>
      <c r="D68" s="24">
        <f>SUM(D69:D74)</f>
        <v>0</v>
      </c>
      <c r="E68" s="24">
        <f>SUM(E69:E74)</f>
        <v>0</v>
      </c>
      <c r="F68" s="24">
        <f>SUM(F69:F74)</f>
        <v>0</v>
      </c>
    </row>
    <row r="69" spans="1:6" ht="13.5" customHeight="1">
      <c r="A69" s="22" t="s">
        <v>26</v>
      </c>
      <c r="B69" s="33"/>
      <c r="C69" s="27"/>
      <c r="D69" s="27"/>
      <c r="E69" s="27"/>
      <c r="F69" s="27"/>
    </row>
    <row r="70" spans="1:6" ht="13.5" customHeight="1">
      <c r="A70" s="22" t="s">
        <v>37</v>
      </c>
      <c r="B70" s="28" t="s">
        <v>36</v>
      </c>
      <c r="C70" s="27"/>
      <c r="D70" s="27"/>
      <c r="E70" s="27"/>
      <c r="F70" s="27"/>
    </row>
    <row r="71" spans="1:6" ht="13.5" customHeight="1">
      <c r="A71" s="22" t="s">
        <v>35</v>
      </c>
      <c r="B71" s="28" t="s">
        <v>34</v>
      </c>
      <c r="C71" s="27"/>
      <c r="D71" s="27"/>
      <c r="E71" s="27"/>
      <c r="F71" s="27"/>
    </row>
    <row r="72" spans="1:6" ht="13.5" customHeight="1">
      <c r="A72" s="22" t="s">
        <v>33</v>
      </c>
      <c r="B72" s="28" t="s">
        <v>32</v>
      </c>
      <c r="C72" s="27"/>
      <c r="D72" s="27"/>
      <c r="E72" s="27"/>
      <c r="F72" s="27"/>
    </row>
    <row r="73" spans="1:6" ht="13.5" customHeight="1">
      <c r="A73" s="22" t="s">
        <v>31</v>
      </c>
      <c r="B73" s="28" t="s">
        <v>30</v>
      </c>
      <c r="C73" s="27"/>
      <c r="D73" s="27"/>
      <c r="E73" s="27"/>
      <c r="F73" s="27"/>
    </row>
    <row r="74" spans="1:6" ht="13.5" customHeight="1">
      <c r="A74" s="22" t="s">
        <v>29</v>
      </c>
      <c r="B74" s="28" t="s">
        <v>28</v>
      </c>
      <c r="C74" s="27"/>
      <c r="D74" s="27"/>
      <c r="E74" s="27"/>
      <c r="F74" s="27"/>
    </row>
    <row r="75" spans="1:6" ht="13.5" customHeight="1">
      <c r="A75" s="22" t="s">
        <v>27</v>
      </c>
      <c r="B75" s="33">
        <v>14</v>
      </c>
      <c r="C75" s="24">
        <f>SUM(C77:C80)</f>
        <v>0</v>
      </c>
      <c r="D75" s="24">
        <f>SUM(D77:D80)</f>
        <v>0</v>
      </c>
      <c r="E75" s="24">
        <f>SUM(E77:E80)</f>
        <v>0</v>
      </c>
      <c r="F75" s="24">
        <f>SUM(F77:F80)</f>
        <v>0</v>
      </c>
    </row>
    <row r="76" spans="1:6" ht="13.5" customHeight="1">
      <c r="A76" s="22" t="s">
        <v>26</v>
      </c>
      <c r="B76" s="33"/>
      <c r="C76" s="27"/>
      <c r="D76" s="27"/>
      <c r="E76" s="27"/>
      <c r="F76" s="27"/>
    </row>
    <row r="77" spans="1:6" ht="13.5" customHeight="1">
      <c r="A77" s="22" t="s">
        <v>25</v>
      </c>
      <c r="B77" s="28" t="s">
        <v>24</v>
      </c>
      <c r="C77" s="27"/>
      <c r="D77" s="27"/>
      <c r="E77" s="27"/>
      <c r="F77" s="27"/>
    </row>
    <row r="78" spans="1:6" ht="13.5" customHeight="1">
      <c r="A78" s="22" t="s">
        <v>23</v>
      </c>
      <c r="B78" s="28" t="s">
        <v>22</v>
      </c>
      <c r="C78" s="27"/>
      <c r="D78" s="27"/>
      <c r="E78" s="27"/>
      <c r="F78" s="27"/>
    </row>
    <row r="79" spans="1:6" ht="13.5" customHeight="1">
      <c r="A79" s="22" t="s">
        <v>21</v>
      </c>
      <c r="B79" s="28" t="s">
        <v>20</v>
      </c>
      <c r="C79" s="27"/>
      <c r="D79" s="27"/>
      <c r="E79" s="27"/>
      <c r="F79" s="27"/>
    </row>
    <row r="80" spans="1:6" ht="13.5" customHeight="1">
      <c r="A80" s="22" t="s">
        <v>19</v>
      </c>
      <c r="B80" s="28" t="s">
        <v>18</v>
      </c>
      <c r="C80" s="27"/>
      <c r="D80" s="27"/>
      <c r="E80" s="27"/>
      <c r="F80" s="27"/>
    </row>
    <row r="81" spans="1:9" ht="13.5" customHeight="1">
      <c r="A81" s="22" t="s">
        <v>17</v>
      </c>
      <c r="B81" s="33">
        <v>15</v>
      </c>
      <c r="C81" s="24"/>
      <c r="D81" s="24"/>
      <c r="E81" s="24"/>
      <c r="F81" s="24"/>
    </row>
    <row r="82" spans="1:9" ht="13.5" customHeight="1">
      <c r="A82" s="22" t="s">
        <v>16</v>
      </c>
      <c r="B82" s="33">
        <v>16</v>
      </c>
      <c r="C82" s="24"/>
      <c r="D82" s="24"/>
      <c r="E82" s="24"/>
      <c r="F82" s="24"/>
    </row>
    <row r="83" spans="1:9" ht="13.5" customHeight="1">
      <c r="A83" s="34" t="s">
        <v>15</v>
      </c>
      <c r="B83" s="35">
        <v>17</v>
      </c>
      <c r="C83" s="32">
        <f>C52+C60+C68+C75+C81+C82</f>
        <v>0</v>
      </c>
      <c r="D83" s="32">
        <f>D52+D60+D68+D75+D81+D82</f>
        <v>0</v>
      </c>
      <c r="E83" s="32">
        <f>E52+E60+E68+E75+E81+E82</f>
        <v>0</v>
      </c>
      <c r="F83" s="32">
        <f>F52+F60+F68+F75+F81+F82</f>
        <v>0</v>
      </c>
      <c r="I83" s="14"/>
    </row>
    <row r="84" spans="1:9" ht="13.5" customHeight="1">
      <c r="A84" s="16"/>
      <c r="B84" s="6"/>
      <c r="C84" s="8"/>
      <c r="D84" s="8"/>
      <c r="E84" s="8"/>
      <c r="F84" s="8"/>
      <c r="G84" s="17"/>
    </row>
    <row r="85" spans="1:9" ht="13.5" customHeight="1">
      <c r="A85" s="22" t="s">
        <v>14</v>
      </c>
      <c r="B85" s="36" t="s">
        <v>13</v>
      </c>
      <c r="C85" s="27">
        <f>C50-C83</f>
        <v>0</v>
      </c>
      <c r="D85" s="27">
        <f>D50-D83</f>
        <v>0</v>
      </c>
      <c r="E85" s="27">
        <f>E50-E83</f>
        <v>0</v>
      </c>
      <c r="F85" s="27">
        <f>F50-F83</f>
        <v>0</v>
      </c>
    </row>
    <row r="86" spans="1:9" ht="13.5" customHeight="1">
      <c r="A86" s="37" t="s">
        <v>12</v>
      </c>
      <c r="B86" s="36" t="s">
        <v>11</v>
      </c>
      <c r="C86" s="27"/>
      <c r="D86" s="27"/>
      <c r="E86" s="27"/>
      <c r="F86" s="27"/>
      <c r="G86" s="13"/>
    </row>
    <row r="87" spans="1:9" ht="13.5" customHeight="1">
      <c r="A87" s="37"/>
      <c r="B87" s="36"/>
      <c r="C87" s="27"/>
      <c r="D87" s="27"/>
      <c r="E87" s="27"/>
      <c r="F87" s="27"/>
      <c r="G87" s="13"/>
    </row>
    <row r="88" spans="1:9" ht="13.5" customHeight="1">
      <c r="A88" s="34" t="s">
        <v>10</v>
      </c>
      <c r="B88" s="35">
        <v>20</v>
      </c>
      <c r="C88" s="32">
        <f>C85-C86</f>
        <v>0</v>
      </c>
      <c r="D88" s="32">
        <f>D85-D86</f>
        <v>0</v>
      </c>
      <c r="E88" s="32">
        <f>E85-E86</f>
        <v>0</v>
      </c>
      <c r="F88" s="32">
        <f>F85-F86</f>
        <v>0</v>
      </c>
    </row>
    <row r="89" spans="1:9" s="45" customFormat="1" ht="13.5" customHeight="1">
      <c r="A89" s="42"/>
      <c r="B89" s="43"/>
      <c r="C89" s="44"/>
      <c r="D89" s="44"/>
      <c r="E89" s="44"/>
      <c r="F89" s="44"/>
    </row>
    <row r="90" spans="1:9" ht="13.5" customHeight="1">
      <c r="A90" s="22" t="s">
        <v>9</v>
      </c>
      <c r="B90" s="33">
        <v>21</v>
      </c>
      <c r="C90" s="24"/>
      <c r="D90" s="24"/>
      <c r="E90" s="24"/>
      <c r="F90" s="24"/>
    </row>
    <row r="91" spans="1:9" ht="13.5" customHeight="1">
      <c r="A91" s="7"/>
      <c r="B91" s="6"/>
      <c r="C91" s="10"/>
      <c r="D91" s="10"/>
      <c r="E91" s="10"/>
      <c r="F91" s="10"/>
    </row>
    <row r="92" spans="1:9" ht="13.5" customHeight="1">
      <c r="A92" s="34" t="s">
        <v>8</v>
      </c>
      <c r="B92" s="35">
        <v>22</v>
      </c>
      <c r="C92" s="32">
        <f>C88-C90</f>
        <v>0</v>
      </c>
      <c r="D92" s="32">
        <f>D88-D90</f>
        <v>0</v>
      </c>
      <c r="E92" s="32">
        <f>E88-E90</f>
        <v>0</v>
      </c>
      <c r="F92" s="32">
        <f>F88-F90</f>
        <v>0</v>
      </c>
    </row>
    <row r="93" spans="1:9" ht="13.5" customHeight="1">
      <c r="A93" s="22" t="s">
        <v>7</v>
      </c>
      <c r="B93" s="33">
        <v>23</v>
      </c>
      <c r="C93" s="24"/>
      <c r="D93" s="24"/>
      <c r="E93" s="24"/>
      <c r="F93" s="24"/>
    </row>
    <row r="94" spans="1:9" ht="13.5" customHeight="1">
      <c r="A94" s="22"/>
      <c r="B94" s="33"/>
      <c r="C94" s="24"/>
      <c r="D94" s="24"/>
      <c r="E94" s="24"/>
      <c r="F94" s="24"/>
    </row>
    <row r="95" spans="1:9" ht="13.5" customHeight="1">
      <c r="A95" s="34" t="s">
        <v>6</v>
      </c>
      <c r="B95" s="35">
        <v>25</v>
      </c>
      <c r="C95" s="32">
        <f>C92+C93</f>
        <v>0</v>
      </c>
      <c r="D95" s="32">
        <f>D92+D93</f>
        <v>0</v>
      </c>
      <c r="E95" s="32">
        <f>E92+E93</f>
        <v>0</v>
      </c>
      <c r="F95" s="32">
        <f>F92+F93</f>
        <v>0</v>
      </c>
    </row>
    <row r="96" spans="1:9" ht="12.75" customHeight="1">
      <c r="D96" s="17"/>
      <c r="E96" s="17"/>
    </row>
    <row r="97" spans="1:5" ht="11.25" customHeight="1">
      <c r="D97" s="17"/>
      <c r="E97" s="17"/>
    </row>
    <row r="102" spans="1:5">
      <c r="A102" s="18" t="s">
        <v>5</v>
      </c>
      <c r="D102" s="1" t="s">
        <v>2</v>
      </c>
    </row>
    <row r="103" spans="1:5">
      <c r="A103" s="18"/>
    </row>
    <row r="104" spans="1:5">
      <c r="A104" s="19" t="s">
        <v>4</v>
      </c>
      <c r="D104" s="1" t="s">
        <v>2</v>
      </c>
    </row>
    <row r="105" spans="1:5">
      <c r="A105" s="18"/>
    </row>
    <row r="106" spans="1:5">
      <c r="A106" s="18" t="s">
        <v>3</v>
      </c>
      <c r="D106" s="1" t="s">
        <v>2</v>
      </c>
    </row>
    <row r="107" spans="1:5">
      <c r="A107" s="18"/>
    </row>
    <row r="108" spans="1:5">
      <c r="A108" s="1" t="s">
        <v>1</v>
      </c>
    </row>
    <row r="110" spans="1:5">
      <c r="A110" s="18" t="s">
        <v>0</v>
      </c>
    </row>
    <row r="111" spans="1:5">
      <c r="A111" s="18"/>
    </row>
    <row r="112" spans="1:5">
      <c r="A112" s="18"/>
    </row>
    <row r="113" spans="1:1">
      <c r="A113" s="18"/>
    </row>
  </sheetData>
  <mergeCells count="5">
    <mergeCell ref="A6:F6"/>
    <mergeCell ref="E1:F1"/>
    <mergeCell ref="A3:F3"/>
    <mergeCell ref="A4:F4"/>
    <mergeCell ref="A5:F5"/>
  </mergeCells>
  <pageMargins left="0.31496062992125984" right="0.19685039370078741" top="0.39370078740157483" bottom="0.19685039370078741" header="0.51181102362204722" footer="0.51181102362204722"/>
  <pageSetup paperSize="8" scale="87" orientation="portrait" r:id="rId1"/>
  <headerFooter alignWithMargins="0"/>
  <ignoredErrors>
    <ignoredError sqref="D11:F11 C68 C52 C50 C83 C85" unlocked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F2</vt:lpstr>
      <vt:lpstr>'F2'!Область_печати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Марат Мадыбаев</cp:lastModifiedBy>
  <dcterms:created xsi:type="dcterms:W3CDTF">2015-02-02T10:37:55Z</dcterms:created>
  <dcterms:modified xsi:type="dcterms:W3CDTF">2015-03-30T07:32:20Z</dcterms:modified>
</cp:coreProperties>
</file>