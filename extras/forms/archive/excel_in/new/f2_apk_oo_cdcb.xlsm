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1280" yWindow="-90" windowWidth="12555" windowHeight="12795"/>
  </bookViews>
  <sheets>
    <sheet name="Ф2 АПК ОО ЦДЦБ" sheetId="4" r:id="rId1"/>
  </sheets>
  <externalReferences>
    <externalReference r:id="rId2"/>
  </externalReferences>
  <definedNames>
    <definedName name="q">#REF!</definedName>
    <definedName name="z">#REF!</definedName>
    <definedName name="вп">#REF!</definedName>
    <definedName name="дата">#REF!</definedName>
    <definedName name="_xlnm.Print_Area" localSheetId="0">'Ф2 АПК ОО ЦДЦБ'!$A$1:$F$113</definedName>
    <definedName name="Страны">[1]Лист1!$A$1:$A$5</definedName>
    <definedName name="ф77" localSheetId="0">#REF!</definedName>
    <definedName name="ф77">#REF!</definedName>
  </definedNames>
  <calcPr calcId="125725"/>
</workbook>
</file>

<file path=xl/calcChain.xml><?xml version="1.0" encoding="utf-8"?>
<calcChain xmlns="http://schemas.openxmlformats.org/spreadsheetml/2006/main">
  <c r="C67" i="4"/>
  <c r="F60"/>
  <c r="D60"/>
  <c r="E60"/>
  <c r="C60"/>
  <c r="D44"/>
  <c r="E44"/>
  <c r="F44"/>
  <c r="C44"/>
  <c r="D20"/>
  <c r="E20"/>
  <c r="F20"/>
  <c r="C20"/>
  <c r="C11"/>
  <c r="D11"/>
  <c r="E11"/>
  <c r="F11"/>
  <c r="C31"/>
  <c r="D31"/>
  <c r="E31"/>
  <c r="F31"/>
  <c r="C39"/>
  <c r="D39"/>
  <c r="E39"/>
  <c r="F39"/>
  <c r="C52"/>
  <c r="D52"/>
  <c r="E52"/>
  <c r="F52"/>
  <c r="D67"/>
  <c r="E67"/>
  <c r="F67"/>
  <c r="C74"/>
  <c r="D74"/>
  <c r="E74"/>
  <c r="F74"/>
  <c r="D50" l="1"/>
  <c r="C50"/>
  <c r="F50"/>
  <c r="C82"/>
  <c r="E82"/>
  <c r="E50"/>
  <c r="D82"/>
  <c r="F82"/>
  <c r="F84" l="1"/>
  <c r="F87" s="1"/>
  <c r="F91" s="1"/>
  <c r="F96" s="1"/>
  <c r="D84"/>
  <c r="D87" s="1"/>
  <c r="D91" s="1"/>
  <c r="D96" s="1"/>
  <c r="C84"/>
  <c r="C87" s="1"/>
  <c r="C91" s="1"/>
  <c r="C96" s="1"/>
  <c r="E84"/>
  <c r="E87" s="1"/>
  <c r="E91" s="1"/>
  <c r="E96" s="1"/>
</calcChain>
</file>

<file path=xl/sharedStrings.xml><?xml version="1.0" encoding="utf-8"?>
<sst xmlns="http://schemas.openxmlformats.org/spreadsheetml/2006/main" count="148" uniqueCount="141">
  <si>
    <t>Место для печати</t>
  </si>
  <si>
    <t>Телефон                                 _________________________________</t>
  </si>
  <si>
    <t>дата __________________</t>
  </si>
  <si>
    <t xml:space="preserve">Исполнитель                                                                     ______________________________________  </t>
  </si>
  <si>
    <t>Главный бухгалтер                                                                    ___________________________________</t>
  </si>
  <si>
    <t>Первый руководитель (на период его отсутствия - лицо, его замещающее)  _____________________</t>
  </si>
  <si>
    <t>Статья «Доля меньшинства» заполняется при составлении консолидированной финансовой отчетности.</t>
  </si>
  <si>
    <t>Итого чистая прибыль (убыток) за период (стр.22+/- стр.23-стр.24)</t>
  </si>
  <si>
    <t>Доля меньшинства</t>
  </si>
  <si>
    <t>Прибыль (убыток) от прекращенной деятельности</t>
  </si>
  <si>
    <t>Чистая прибыль (убыток) после уплаты  корпоративного подоходного налога (стр.20-стр.21)</t>
  </si>
  <si>
    <t>Корпоративный подоходный налог</t>
  </si>
  <si>
    <t>Чистая прибыль (убыток) до уплаты корпоративного подоходного налога        (стр. 18 - стр. 19)</t>
  </si>
  <si>
    <t>19</t>
  </si>
  <si>
    <t>Резервы (восстановление резервов) на возможные потери по операциям</t>
  </si>
  <si>
    <t>18</t>
  </si>
  <si>
    <t>Прибыль (убыток) до отчисления в резервы (провизии) (стр. 10 - стр. 17)</t>
  </si>
  <si>
    <t>Итого расходов (сумма строк с 11 по 16)</t>
  </si>
  <si>
    <t>Прочие расходы</t>
  </si>
  <si>
    <t>Расходы от реализации или безвозмездной передачи активов</t>
  </si>
  <si>
    <t>14.4</t>
  </si>
  <si>
    <t xml:space="preserve">   расходы по уплате налогов и других обязательных платежей в бюджет, за исключением корпоративного подоходного налога </t>
  </si>
  <si>
    <t>14.3</t>
  </si>
  <si>
    <t xml:space="preserve">   расходы на материалы</t>
  </si>
  <si>
    <t>14.2</t>
  </si>
  <si>
    <t xml:space="preserve">   амортизационные отчисления</t>
  </si>
  <si>
    <t>14.1</t>
  </si>
  <si>
    <t xml:space="preserve">   расходы на оплату труда и командировочные</t>
  </si>
  <si>
    <t>из них:</t>
  </si>
  <si>
    <t>Операционные расходы</t>
  </si>
  <si>
    <t>13.5</t>
  </si>
  <si>
    <t xml:space="preserve">   расходы от осуществления инкассации</t>
  </si>
  <si>
    <t>13.4</t>
  </si>
  <si>
    <t xml:space="preserve">   расходы от осуществления сейфовых операций</t>
  </si>
  <si>
    <t>13.3</t>
  </si>
  <si>
    <t xml:space="preserve">   расходы от осуществления кассовых операций</t>
  </si>
  <si>
    <t>13.2</t>
  </si>
  <si>
    <t xml:space="preserve">   расходы от осуществления клиринговых операций</t>
  </si>
  <si>
    <t>13.1</t>
  </si>
  <si>
    <t xml:space="preserve">   расходы от осуществления переводных операций</t>
  </si>
  <si>
    <t>Расходы, по банковской и иной деятельности, не связанные с выплатой вознаграждения</t>
  </si>
  <si>
    <t>12.2</t>
  </si>
  <si>
    <t xml:space="preserve">   вознаграждение за кастодиальное обслуживание</t>
  </si>
  <si>
    <t>12.1</t>
  </si>
  <si>
    <t xml:space="preserve">   вознаграждение управляющему агенту</t>
  </si>
  <si>
    <t>Комиссионные расходы</t>
  </si>
  <si>
    <t>11.6</t>
  </si>
  <si>
    <t xml:space="preserve">   прочие расходы, связанные с выплатой вознаграждения</t>
  </si>
  <si>
    <t>11.5</t>
  </si>
  <si>
    <t xml:space="preserve">   по операциям «РЕПО»</t>
  </si>
  <si>
    <t>11.4</t>
  </si>
  <si>
    <t xml:space="preserve">   по выпущенным ценным бумагам</t>
  </si>
  <si>
    <t>11.3</t>
  </si>
  <si>
    <t xml:space="preserve">   по полученной финансовой аренде</t>
  </si>
  <si>
    <t>11.2</t>
  </si>
  <si>
    <t xml:space="preserve">   по полученным займам</t>
  </si>
  <si>
    <t>11.1</t>
  </si>
  <si>
    <t xml:space="preserve">   по привлеченным вкладам</t>
  </si>
  <si>
    <t>в том числе:</t>
  </si>
  <si>
    <t>Расходы, связанные с выплатой вознаграждения</t>
  </si>
  <si>
    <t>Итого доходов (сумма строк с 1 по 9)</t>
  </si>
  <si>
    <t>Прочие доходы</t>
  </si>
  <si>
    <t>Доходы от реализации (выбытия) активов</t>
  </si>
  <si>
    <t>Доходы, связанные с участием в ассоциированных организациях</t>
  </si>
  <si>
    <t>Доходы (расходы) от переоценки иностранной валюты (нетто)</t>
  </si>
  <si>
    <t>4.2</t>
  </si>
  <si>
    <t xml:space="preserve">  доходы (расходы) от изменения стоимости финансовых активов, оцениваемых по справедливой стоимости, изменения которой отражаются в составе прибыли или убытка (нетто)</t>
  </si>
  <si>
    <t>4.1</t>
  </si>
  <si>
    <t xml:space="preserve">   доходы (расходы) от купли/продажи финансовых активов (нетто)</t>
  </si>
  <si>
    <t xml:space="preserve">из них:  </t>
  </si>
  <si>
    <t>Доходы (расходы) по финансовым активам (нетто)</t>
  </si>
  <si>
    <t>3.6</t>
  </si>
  <si>
    <t xml:space="preserve">   прочие доходы от банковской и иной деятельности, не связанные с получением вознаграждения</t>
  </si>
  <si>
    <t>3.5</t>
  </si>
  <si>
    <t xml:space="preserve">   доходы от инкассации</t>
  </si>
  <si>
    <t>3.4</t>
  </si>
  <si>
    <t xml:space="preserve">   доходы от осуществления сейфовых операций</t>
  </si>
  <si>
    <t>3.3</t>
  </si>
  <si>
    <t xml:space="preserve">   доходы от осуществления кассовых операций</t>
  </si>
  <si>
    <t>3.2</t>
  </si>
  <si>
    <t xml:space="preserve">   доходы от осуществления клиринговых операций</t>
  </si>
  <si>
    <t>3.1</t>
  </si>
  <si>
    <t xml:space="preserve">   доходы от осуществления переводных операций</t>
  </si>
  <si>
    <t>Доходы от осуществления банковской и иной деятельности, не связанные с получением вознаграждения</t>
  </si>
  <si>
    <t>2.2</t>
  </si>
  <si>
    <t xml:space="preserve">    от инвестиционного дохода (убытка) по пенсионным активам</t>
  </si>
  <si>
    <t>2.1</t>
  </si>
  <si>
    <t xml:space="preserve">    от пенсионных активов          </t>
  </si>
  <si>
    <t>Комиссионные вознаграждения</t>
  </si>
  <si>
    <t>1.7</t>
  </si>
  <si>
    <t xml:space="preserve">   прочие доходы, связанные с получением вознаграждения</t>
  </si>
  <si>
    <t>1.6</t>
  </si>
  <si>
    <t xml:space="preserve">   по операциям «обратное РЕПО»</t>
  </si>
  <si>
    <t>1.5</t>
  </si>
  <si>
    <t xml:space="preserve">   по приобретенным ценным бумагам</t>
  </si>
  <si>
    <t>1.4</t>
  </si>
  <si>
    <t xml:space="preserve">   по предоставленной финансовой аренде</t>
  </si>
  <si>
    <t>1.3</t>
  </si>
  <si>
    <t xml:space="preserve">   по предоставленным займам (микрокредитам)</t>
  </si>
  <si>
    <t>1.2</t>
  </si>
  <si>
    <t xml:space="preserve">   по размещенным вкладам</t>
  </si>
  <si>
    <t>1.1</t>
  </si>
  <si>
    <t xml:space="preserve">   по корреспондентским и текущим счетам</t>
  </si>
  <si>
    <t>Доходы, связанные с получением вознаграждения:</t>
  </si>
  <si>
    <t>За аналогичный период с начала предыдущего года (с нарастающим итогом)</t>
  </si>
  <si>
    <t>За аналогичный отчетный период предыдущего года</t>
  </si>
  <si>
    <t>За период с начала текущего года (с нарастающим итогом)</t>
  </si>
  <si>
    <t>За отчетный период</t>
  </si>
  <si>
    <t>Код строки</t>
  </si>
  <si>
    <t>Наименование статьи</t>
  </si>
  <si>
    <t>(в тысячах тенге)</t>
  </si>
  <si>
    <t>по состоянию на «___» «_________________» 20__ года</t>
  </si>
  <si>
    <t>(полное наименование организации)</t>
  </si>
  <si>
    <t>__________________________________________________</t>
  </si>
  <si>
    <t>Отчет о прибылях и убытках</t>
  </si>
  <si>
    <t xml:space="preserve">Приложение 11 
к постановлению Правления 
Национального Банка 
Республики Казахстан 
от 27 мая 2013 года № 130 
</t>
  </si>
  <si>
    <t xml:space="preserve">    от оказания консалтинговых услуг</t>
  </si>
  <si>
    <t>2.3</t>
  </si>
  <si>
    <t xml:space="preserve">    от услуг представителя держателей облигаций</t>
  </si>
  <si>
    <t>2.4</t>
  </si>
  <si>
    <t xml:space="preserve">    от услуг андеррайтера</t>
  </si>
  <si>
    <t>2.5</t>
  </si>
  <si>
    <t xml:space="preserve">    от управления активами</t>
  </si>
  <si>
    <t>2.6</t>
  </si>
  <si>
    <t xml:space="preserve">   от оказания брокерских услуг</t>
  </si>
  <si>
    <t>2.7</t>
  </si>
  <si>
    <t xml:space="preserve">   от оказания услуг маркет-мейкера</t>
  </si>
  <si>
    <t>2.8</t>
  </si>
  <si>
    <t xml:space="preserve">    от оказания прочих услуг </t>
  </si>
  <si>
    <t>2.9</t>
  </si>
  <si>
    <t>Доходы в виде дивидендов по акциям</t>
  </si>
  <si>
    <t>По ценным бумагам, оцениваемым по справедливой стоимости</t>
  </si>
  <si>
    <t>6.1</t>
  </si>
  <si>
    <t>По ценным бумагам, имеющимся в наличии для продажи</t>
  </si>
  <si>
    <t>6.2</t>
  </si>
  <si>
    <t xml:space="preserve">   вознаграждение фондовой бирже</t>
  </si>
  <si>
    <t>12.3</t>
  </si>
  <si>
    <t xml:space="preserve">   вознаграждение за услуги регистратора</t>
  </si>
  <si>
    <t>12.4</t>
  </si>
  <si>
    <t xml:space="preserve">   вознаграждение за прочие услуги</t>
  </si>
  <si>
    <t>12.5</t>
  </si>
</sst>
</file>

<file path=xl/styles.xml><?xml version="1.0" encoding="utf-8"?>
<styleSheet xmlns="http://schemas.openxmlformats.org/spreadsheetml/2006/main">
  <numFmts count="1">
    <numFmt numFmtId="164" formatCode="_-* #,##0.00_р_._-;\-* #,##0.00_р_._-;_-* &quot;-&quot;??_р_._-;_-@_-"/>
  </numFmts>
  <fonts count="1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Calibri"/>
      <family val="2"/>
      <charset val="204"/>
      <scheme val="minor"/>
    </font>
    <font>
      <sz val="12"/>
      <name val="Times New Roman"/>
      <family val="1"/>
      <charset val="204"/>
    </font>
    <font>
      <b/>
      <sz val="1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b/>
      <sz val="14"/>
      <name val="Cambria"/>
      <family val="1"/>
      <charset val="204"/>
      <scheme val="major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/>
    <xf numFmtId="0" fontId="2" fillId="0" borderId="1" applyNumberFormat="0" applyFill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/>
    <xf numFmtId="0" fontId="5" fillId="0" borderId="0"/>
    <xf numFmtId="164" fontId="3" fillId="0" borderId="0" applyFont="0" applyFill="0" applyBorder="0" applyAlignment="0" applyProtection="0"/>
    <xf numFmtId="0" fontId="10" fillId="0" borderId="0"/>
    <xf numFmtId="0" fontId="11" fillId="0" borderId="0"/>
  </cellStyleXfs>
  <cellXfs count="63">
    <xf numFmtId="0" fontId="0" fillId="0" borderId="0" xfId="0"/>
    <xf numFmtId="0" fontId="4" fillId="0" borderId="0" xfId="4" applyFont="1" applyFill="1" applyProtection="1">
      <protection locked="0"/>
    </xf>
    <xf numFmtId="49" fontId="4" fillId="0" borderId="0" xfId="5" applyNumberFormat="1" applyFont="1" applyFill="1" applyProtection="1">
      <protection locked="0"/>
    </xf>
    <xf numFmtId="0" fontId="4" fillId="0" borderId="0" xfId="4" applyFont="1" applyFill="1" applyBorder="1" applyAlignment="1" applyProtection="1">
      <protection locked="0"/>
    </xf>
    <xf numFmtId="0" fontId="6" fillId="0" borderId="0" xfId="4" applyFont="1" applyFill="1" applyProtection="1">
      <protection locked="0"/>
    </xf>
    <xf numFmtId="3" fontId="4" fillId="0" borderId="2" xfId="6" applyNumberFormat="1" applyFont="1" applyFill="1" applyBorder="1" applyProtection="1">
      <protection locked="0"/>
    </xf>
    <xf numFmtId="0" fontId="4" fillId="0" borderId="2" xfId="4" applyFont="1" applyFill="1" applyBorder="1" applyAlignment="1" applyProtection="1">
      <alignment horizontal="center"/>
      <protection locked="0"/>
    </xf>
    <xf numFmtId="0" fontId="4" fillId="0" borderId="2" xfId="4" applyFont="1" applyFill="1" applyBorder="1" applyAlignment="1" applyProtection="1">
      <alignment vertical="top" wrapText="1"/>
    </xf>
    <xf numFmtId="3" fontId="6" fillId="0" borderId="2" xfId="6" applyNumberFormat="1" applyFont="1" applyFill="1" applyBorder="1" applyProtection="1">
      <protection locked="0"/>
    </xf>
    <xf numFmtId="0" fontId="7" fillId="0" borderId="0" xfId="4" applyFont="1" applyFill="1" applyProtection="1">
      <protection locked="0"/>
    </xf>
    <xf numFmtId="49" fontId="4" fillId="0" borderId="3" xfId="4" applyNumberFormat="1" applyFont="1" applyFill="1" applyBorder="1" applyAlignment="1" applyProtection="1">
      <alignment horizontal="center" vertical="center" wrapText="1"/>
      <protection locked="0"/>
    </xf>
    <xf numFmtId="0" fontId="4" fillId="0" borderId="2" xfId="4" applyFont="1" applyFill="1" applyBorder="1" applyAlignment="1" applyProtection="1">
      <alignment horizontal="justify" vertical="top" wrapText="1"/>
    </xf>
    <xf numFmtId="49" fontId="4" fillId="0" borderId="2" xfId="4" applyNumberFormat="1" applyFont="1" applyFill="1" applyBorder="1" applyAlignment="1" applyProtection="1">
      <alignment horizontal="center"/>
      <protection locked="0"/>
    </xf>
    <xf numFmtId="0" fontId="6" fillId="0" borderId="2" xfId="4" applyFont="1" applyFill="1" applyBorder="1" applyAlignment="1" applyProtection="1">
      <alignment vertical="top" wrapText="1"/>
    </xf>
    <xf numFmtId="0" fontId="4" fillId="0" borderId="4" xfId="4" applyFont="1" applyFill="1" applyBorder="1" applyAlignment="1" applyProtection="1">
      <alignment vertical="top" wrapText="1"/>
    </xf>
    <xf numFmtId="0" fontId="4" fillId="0" borderId="3" xfId="4" applyFont="1" applyFill="1" applyBorder="1" applyAlignment="1" applyProtection="1">
      <alignment horizontal="center" vertical="top" wrapText="1"/>
      <protection locked="0"/>
    </xf>
    <xf numFmtId="0" fontId="6" fillId="0" borderId="4" xfId="4" applyFont="1" applyFill="1" applyBorder="1" applyAlignment="1" applyProtection="1">
      <alignment vertical="top" wrapText="1"/>
    </xf>
    <xf numFmtId="0" fontId="4" fillId="0" borderId="4" xfId="4" applyFont="1" applyFill="1" applyBorder="1" applyAlignment="1" applyProtection="1">
      <alignment horizontal="justify" vertical="top" wrapText="1"/>
    </xf>
    <xf numFmtId="49" fontId="4" fillId="0" borderId="3" xfId="4" applyNumberFormat="1" applyFont="1" applyFill="1" applyBorder="1" applyAlignment="1" applyProtection="1">
      <alignment horizontal="center" vertical="top" wrapText="1"/>
      <protection locked="0"/>
    </xf>
    <xf numFmtId="3" fontId="4" fillId="0" borderId="0" xfId="4" applyNumberFormat="1" applyFont="1" applyFill="1" applyProtection="1">
      <protection locked="0"/>
    </xf>
    <xf numFmtId="0" fontId="8" fillId="0" borderId="0" xfId="4" applyFont="1" applyFill="1" applyAlignment="1" applyProtection="1">
      <alignment wrapText="1" shrinkToFit="1"/>
      <protection locked="0"/>
    </xf>
    <xf numFmtId="0" fontId="4" fillId="0" borderId="6" xfId="4" applyFont="1" applyFill="1" applyBorder="1" applyAlignment="1" applyProtection="1">
      <alignment horizontal="center"/>
      <protection locked="0"/>
    </xf>
    <xf numFmtId="0" fontId="4" fillId="0" borderId="0" xfId="4" applyFont="1" applyFill="1" applyProtection="1"/>
    <xf numFmtId="0" fontId="4" fillId="0" borderId="0" xfId="4" applyFont="1" applyFill="1" applyAlignment="1" applyProtection="1">
      <alignment horizontal="right"/>
    </xf>
    <xf numFmtId="0" fontId="4" fillId="0" borderId="0" xfId="4" applyFont="1" applyFill="1" applyAlignment="1" applyProtection="1">
      <alignment horizontal="center"/>
    </xf>
    <xf numFmtId="0" fontId="4" fillId="0" borderId="0" xfId="4" applyFont="1" applyFill="1" applyAlignment="1" applyProtection="1">
      <alignment horizontal="center"/>
      <protection locked="0"/>
    </xf>
    <xf numFmtId="0" fontId="4" fillId="0" borderId="0" xfId="4" applyFont="1" applyFill="1" applyAlignment="1" applyProtection="1">
      <alignment horizontal="center"/>
      <protection locked="0"/>
    </xf>
    <xf numFmtId="0" fontId="13" fillId="0" borderId="2" xfId="2" applyFont="1" applyFill="1" applyBorder="1" applyAlignment="1" applyProtection="1">
      <alignment vertical="top" wrapText="1"/>
    </xf>
    <xf numFmtId="0" fontId="13" fillId="0" borderId="5" xfId="2" applyFont="1" applyFill="1" applyBorder="1" applyAlignment="1" applyProtection="1">
      <alignment horizontal="center" vertical="top" wrapText="1"/>
      <protection locked="0"/>
    </xf>
    <xf numFmtId="3" fontId="13" fillId="0" borderId="2" xfId="2" applyNumberFormat="1" applyFont="1" applyFill="1" applyBorder="1" applyProtection="1">
      <protection locked="0"/>
    </xf>
    <xf numFmtId="0" fontId="13" fillId="0" borderId="4" xfId="2" applyFont="1" applyFill="1" applyBorder="1" applyAlignment="1" applyProtection="1">
      <alignment vertical="top" wrapText="1"/>
    </xf>
    <xf numFmtId="0" fontId="13" fillId="0" borderId="3" xfId="2" applyFont="1" applyFill="1" applyBorder="1" applyAlignment="1" applyProtection="1">
      <alignment horizontal="center" vertical="top" wrapText="1"/>
      <protection locked="0"/>
    </xf>
    <xf numFmtId="3" fontId="4" fillId="0" borderId="4" xfId="6" applyNumberFormat="1" applyFont="1" applyFill="1" applyBorder="1" applyProtection="1">
      <protection locked="0"/>
    </xf>
    <xf numFmtId="0" fontId="14" fillId="4" borderId="2" xfId="1" applyFont="1" applyFill="1" applyBorder="1" applyAlignment="1" applyProtection="1">
      <alignment vertical="top" wrapText="1"/>
    </xf>
    <xf numFmtId="0" fontId="14" fillId="4" borderId="2" xfId="1" applyFont="1" applyFill="1" applyBorder="1" applyAlignment="1" applyProtection="1">
      <alignment horizontal="center" vertical="top" wrapText="1"/>
      <protection locked="0"/>
    </xf>
    <xf numFmtId="3" fontId="14" fillId="4" borderId="2" xfId="1" applyNumberFormat="1" applyFont="1" applyFill="1" applyBorder="1" applyProtection="1">
      <protection locked="0"/>
    </xf>
    <xf numFmtId="0" fontId="13" fillId="0" borderId="2" xfId="2" applyFont="1" applyFill="1" applyBorder="1" applyAlignment="1" applyProtection="1">
      <alignment horizontal="center"/>
      <protection locked="0"/>
    </xf>
    <xf numFmtId="0" fontId="13" fillId="0" borderId="2" xfId="2" applyFont="1" applyFill="1" applyBorder="1" applyAlignment="1" applyProtection="1">
      <alignment wrapText="1"/>
    </xf>
    <xf numFmtId="49" fontId="13" fillId="0" borderId="2" xfId="2" applyNumberFormat="1" applyFont="1" applyFill="1" applyBorder="1" applyAlignment="1" applyProtection="1">
      <alignment horizontal="center"/>
      <protection locked="0"/>
    </xf>
    <xf numFmtId="0" fontId="13" fillId="0" borderId="2" xfId="2" applyFont="1" applyFill="1" applyBorder="1" applyAlignment="1" applyProtection="1">
      <alignment vertical="center" wrapText="1"/>
    </xf>
    <xf numFmtId="0" fontId="14" fillId="4" borderId="2" xfId="3" applyFont="1" applyFill="1" applyBorder="1" applyAlignment="1" applyProtection="1">
      <alignment horizontal="center" vertical="center" wrapText="1"/>
      <protection locked="0"/>
    </xf>
    <xf numFmtId="0" fontId="14" fillId="4" borderId="2" xfId="3" applyFont="1" applyFill="1" applyBorder="1" applyAlignment="1" applyProtection="1">
      <alignment horizontal="center"/>
      <protection locked="0"/>
    </xf>
    <xf numFmtId="0" fontId="9" fillId="0" borderId="0" xfId="4" applyFont="1" applyFill="1" applyAlignment="1" applyProtection="1">
      <alignment horizontal="right" wrapText="1"/>
      <protection locked="0"/>
    </xf>
    <xf numFmtId="0" fontId="9" fillId="0" borderId="0" xfId="4" applyFont="1" applyFill="1" applyAlignment="1">
      <alignment horizontal="right" wrapText="1"/>
    </xf>
    <xf numFmtId="0" fontId="13" fillId="4" borderId="2" xfId="2" applyFont="1" applyFill="1" applyBorder="1" applyAlignment="1" applyProtection="1">
      <alignment vertical="top" wrapText="1"/>
    </xf>
    <xf numFmtId="0" fontId="13" fillId="4" borderId="2" xfId="2" applyFont="1" applyFill="1" applyBorder="1" applyAlignment="1" applyProtection="1">
      <alignment horizontal="center"/>
      <protection locked="0"/>
    </xf>
    <xf numFmtId="3" fontId="13" fillId="4" borderId="2" xfId="2" applyNumberFormat="1" applyFont="1" applyFill="1" applyBorder="1" applyProtection="1">
      <protection locked="0"/>
    </xf>
    <xf numFmtId="0" fontId="4" fillId="0" borderId="4" xfId="4" applyFont="1" applyFill="1" applyBorder="1" applyAlignment="1" applyProtection="1">
      <alignment vertical="center" wrapText="1"/>
    </xf>
    <xf numFmtId="3" fontId="4" fillId="0" borderId="2" xfId="6" applyNumberFormat="1" applyFont="1" applyFill="1" applyBorder="1" applyAlignment="1" applyProtection="1">
      <alignment vertical="center"/>
      <protection locked="0"/>
    </xf>
    <xf numFmtId="0" fontId="15" fillId="0" borderId="0" xfId="4" applyFont="1" applyFill="1" applyAlignment="1" applyProtection="1">
      <alignment vertical="center"/>
      <protection locked="0"/>
    </xf>
    <xf numFmtId="0" fontId="4" fillId="0" borderId="4" xfId="4" applyFont="1" applyFill="1" applyBorder="1" applyAlignment="1" applyProtection="1">
      <alignment horizontal="justify" vertical="center" wrapText="1"/>
    </xf>
    <xf numFmtId="3" fontId="6" fillId="0" borderId="2" xfId="6" applyNumberFormat="1" applyFont="1" applyFill="1" applyBorder="1" applyAlignment="1" applyProtection="1">
      <alignment vertical="center"/>
      <protection locked="0"/>
    </xf>
    <xf numFmtId="0" fontId="4" fillId="0" borderId="2" xfId="4" applyFont="1" applyFill="1" applyBorder="1" applyAlignment="1" applyProtection="1">
      <alignment vertical="center" wrapText="1"/>
    </xf>
    <xf numFmtId="0" fontId="9" fillId="0" borderId="0" xfId="4" applyFont="1" applyFill="1" applyAlignment="1" applyProtection="1">
      <alignment horizontal="right" wrapText="1"/>
      <protection locked="0"/>
    </xf>
    <xf numFmtId="0" fontId="9" fillId="0" borderId="0" xfId="4" applyFont="1" applyFill="1" applyAlignment="1">
      <alignment horizontal="right" wrapText="1"/>
    </xf>
    <xf numFmtId="0" fontId="12" fillId="0" borderId="0" xfId="4" applyFont="1" applyFill="1" applyAlignment="1" applyProtection="1">
      <alignment horizontal="center"/>
      <protection locked="0"/>
    </xf>
    <xf numFmtId="0" fontId="4" fillId="0" borderId="0" xfId="4" applyFont="1" applyFill="1" applyAlignment="1" applyProtection="1">
      <alignment horizontal="center"/>
      <protection locked="0"/>
    </xf>
    <xf numFmtId="0" fontId="9" fillId="0" borderId="0" xfId="4" applyFont="1" applyFill="1" applyAlignment="1" applyProtection="1">
      <alignment horizontal="center"/>
      <protection locked="0"/>
    </xf>
    <xf numFmtId="49" fontId="4" fillId="0" borderId="0" xfId="5" applyNumberFormat="1" applyFont="1" applyFill="1" applyAlignment="1" applyProtection="1">
      <alignment wrapText="1" shrinkToFit="1"/>
      <protection locked="0"/>
    </xf>
    <xf numFmtId="0" fontId="4" fillId="0" borderId="0" xfId="4" applyFont="1" applyFill="1" applyAlignment="1">
      <alignment wrapText="1" shrinkToFit="1"/>
    </xf>
    <xf numFmtId="0" fontId="4" fillId="0" borderId="0" xfId="4" applyFont="1" applyFill="1" applyAlignment="1"/>
    <xf numFmtId="0" fontId="4" fillId="0" borderId="0" xfId="4" applyFont="1" applyFill="1" applyAlignment="1" applyProtection="1">
      <alignment horizontal="left" vertical="top" wrapText="1"/>
      <protection locked="0"/>
    </xf>
    <xf numFmtId="0" fontId="6" fillId="0" borderId="0" xfId="4" applyFont="1" applyFill="1" applyAlignment="1" applyProtection="1">
      <alignment horizontal="center"/>
      <protection locked="0"/>
    </xf>
  </cellXfs>
  <cellStyles count="9">
    <cellStyle name="20% - Акцент2" xfId="2" builtinId="34"/>
    <cellStyle name="40% - Акцент2" xfId="3" builtinId="35"/>
    <cellStyle name="Итог" xfId="1" builtinId="25"/>
    <cellStyle name="Обычный" xfId="0" builtinId="0"/>
    <cellStyle name="Обычный 2" xfId="4"/>
    <cellStyle name="Обычный 3" xfId="7"/>
    <cellStyle name="Обычный_Приложения к Правилам по ИК_рус" xfId="5"/>
    <cellStyle name="Стиль 1" xfId="8"/>
    <cellStyle name="Финансовый 2" xfId="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209551</xdr:colOff>
      <xdr:row>0</xdr:row>
      <xdr:rowOff>114300</xdr:rowOff>
    </xdr:from>
    <xdr:to>
      <xdr:col>0</xdr:col>
      <xdr:colOff>3248025</xdr:colOff>
      <xdr:row>0</xdr:row>
      <xdr:rowOff>504825</xdr:rowOff>
    </xdr:to>
    <xdr:sp macro="" textlink="">
      <xdr:nvSpPr>
        <xdr:cNvPr id="2" name="Text Box 1024"/>
        <xdr:cNvSpPr txBox="1">
          <a:spLocks noChangeArrowheads="1"/>
        </xdr:cNvSpPr>
      </xdr:nvSpPr>
      <xdr:spPr bwMode="auto">
        <a:xfrm>
          <a:off x="428626" y="114300"/>
          <a:ext cx="3038474" cy="390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Респонденты: АПК, организатор торгов,  АО "Центральный депозитарий ценных бумаг"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41;&#1054;_form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Важно!"/>
      <sheetName val="Лист1"/>
      <sheetName val="Вход-выход_ф.2-Казпочта"/>
      <sheetName val="Вход-выход_Доп.данные_АПК"/>
      <sheetName val="Вход-выход_Пруд_АПК"/>
      <sheetName val="Вход-выход_РА_АПК"/>
      <sheetName val="Вход-выход_УВО_АПК"/>
      <sheetName val="Вход-выход_Пруд.Казпочта"/>
      <sheetName val="Вход-выход_Валют_Казпочта"/>
      <sheetName val="Вход-выход_ОТ_Активы взв."/>
      <sheetName val="Вход-выход_ОТ_УВО"/>
      <sheetName val="Вход-выход_ОТ_ПФИ"/>
      <sheetName val="Вход-выход_ОТ_К2"/>
      <sheetName val="Вход-выход_ОТ_пруд"/>
      <sheetName val="Выход_ОТ_сайт"/>
      <sheetName val="Вход-выход_ФС_РВ"/>
      <sheetName val="Вход-выход_ФС_ССЦБ"/>
      <sheetName val="Вход-выход_ФС_ПЗ"/>
      <sheetName val="Вход-выход_КА_МСФО"/>
      <sheetName val="Вход-выход_ФС_ЗПД_МСФО"/>
      <sheetName val="Вход-выход_ФС_ИКДЮ"/>
      <sheetName val="Вход-выход_ФС_РЕПО"/>
      <sheetName val="Вход-выход_ФС_ВТКС"/>
      <sheetName val="Вход-выход_ФС_ОИ"/>
      <sheetName val="Вход-выход_СДЕЛКИ_РЕЕСТР"/>
      <sheetName val="Выход_Сайт-Сведения по НБО"/>
      <sheetName val="Выход_Свед о фин.сост.НБО"/>
      <sheetName val="Выход_Сайт-пруд. Казпочта"/>
      <sheetName val="Выход_Отчет_пруд АПК"/>
    </sheetNames>
    <sheetDataSet>
      <sheetData sheetId="0"/>
      <sheetData sheetId="1">
        <row r="1">
          <cell r="A1" t="str">
            <v>KZ</v>
          </cell>
        </row>
        <row r="2">
          <cell r="A2" t="str">
            <v>RU</v>
          </cell>
        </row>
        <row r="3">
          <cell r="A3" t="str">
            <v>USD</v>
          </cell>
        </row>
        <row r="4">
          <cell r="A4" t="str">
            <v>UZ</v>
          </cell>
        </row>
        <row r="5">
          <cell r="A5" t="str">
            <v>KG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6"/>
  <dimension ref="A1:H112"/>
  <sheetViews>
    <sheetView tabSelected="1" zoomScaleNormal="100" zoomScaleSheetLayoutView="100" workbookViewId="0">
      <selection activeCell="C92" sqref="C92:F94"/>
    </sheetView>
  </sheetViews>
  <sheetFormatPr defaultRowHeight="12.75"/>
  <cols>
    <col min="1" max="1" width="61.42578125" style="1" customWidth="1"/>
    <col min="2" max="2" width="13.7109375" style="1" customWidth="1"/>
    <col min="3" max="3" width="12" style="1" customWidth="1"/>
    <col min="4" max="5" width="19.85546875" style="1" customWidth="1"/>
    <col min="6" max="6" width="28" style="1" customWidth="1"/>
    <col min="7" max="7" width="11.42578125" style="1" customWidth="1"/>
    <col min="8" max="16384" width="9.140625" style="1"/>
  </cols>
  <sheetData>
    <row r="1" spans="1:8" ht="60.75" customHeight="1">
      <c r="E1" s="53" t="s">
        <v>115</v>
      </c>
      <c r="F1" s="54"/>
    </row>
    <row r="2" spans="1:8" ht="17.25" customHeight="1">
      <c r="E2" s="42"/>
      <c r="F2" s="43"/>
    </row>
    <row r="3" spans="1:8" ht="19.5" customHeight="1">
      <c r="A3" s="55" t="s">
        <v>114</v>
      </c>
      <c r="B3" s="55"/>
      <c r="C3" s="55"/>
      <c r="D3" s="55"/>
      <c r="E3" s="55"/>
      <c r="F3" s="55"/>
    </row>
    <row r="4" spans="1:8" ht="18" customHeight="1">
      <c r="A4" s="56" t="s">
        <v>113</v>
      </c>
      <c r="B4" s="56"/>
      <c r="C4" s="56"/>
      <c r="D4" s="56"/>
      <c r="E4" s="56"/>
      <c r="F4" s="56"/>
    </row>
    <row r="5" spans="1:8">
      <c r="A5" s="57" t="s">
        <v>112</v>
      </c>
      <c r="B5" s="57"/>
      <c r="C5" s="57"/>
      <c r="D5" s="57"/>
      <c r="E5" s="57"/>
      <c r="F5" s="57"/>
    </row>
    <row r="6" spans="1:8">
      <c r="A6" s="62" t="s">
        <v>111</v>
      </c>
      <c r="B6" s="62"/>
      <c r="C6" s="62"/>
      <c r="D6" s="62"/>
      <c r="E6" s="62"/>
      <c r="F6" s="62"/>
    </row>
    <row r="7" spans="1:8" s="22" customFormat="1">
      <c r="A7" s="24"/>
      <c r="B7" s="24"/>
      <c r="C7" s="24"/>
      <c r="D7" s="24"/>
      <c r="E7" s="24"/>
      <c r="F7" s="24"/>
    </row>
    <row r="8" spans="1:8" s="22" customFormat="1">
      <c r="F8" s="23" t="s">
        <v>110</v>
      </c>
    </row>
    <row r="9" spans="1:8" ht="38.25">
      <c r="A9" s="40" t="s">
        <v>109</v>
      </c>
      <c r="B9" s="40" t="s">
        <v>108</v>
      </c>
      <c r="C9" s="40" t="s">
        <v>107</v>
      </c>
      <c r="D9" s="40" t="s">
        <v>106</v>
      </c>
      <c r="E9" s="40" t="s">
        <v>105</v>
      </c>
      <c r="F9" s="40" t="s">
        <v>104</v>
      </c>
      <c r="G9" s="21"/>
      <c r="H9" s="25"/>
    </row>
    <row r="10" spans="1:8">
      <c r="A10" s="41">
        <v>1</v>
      </c>
      <c r="B10" s="41">
        <v>2</v>
      </c>
      <c r="C10" s="41">
        <v>3</v>
      </c>
      <c r="D10" s="41">
        <v>4</v>
      </c>
      <c r="E10" s="41">
        <v>5</v>
      </c>
      <c r="F10" s="41">
        <v>6</v>
      </c>
    </row>
    <row r="11" spans="1:8" ht="15" customHeight="1">
      <c r="A11" s="27" t="s">
        <v>103</v>
      </c>
      <c r="B11" s="28">
        <v>1</v>
      </c>
      <c r="C11" s="29">
        <f>C13+C14+C15+C16+C17+C18+C19</f>
        <v>0</v>
      </c>
      <c r="D11" s="29">
        <f>D13+D14+D15+D16+D17+D18+D19</f>
        <v>0</v>
      </c>
      <c r="E11" s="29">
        <f>E13+E14+E15+E16+E17+E18+E19</f>
        <v>0</v>
      </c>
      <c r="F11" s="29">
        <f>F13+F14+F15+F16+F17+F18+F19</f>
        <v>0</v>
      </c>
    </row>
    <row r="12" spans="1:8" ht="15.75" customHeight="1">
      <c r="A12" s="14" t="s">
        <v>58</v>
      </c>
      <c r="B12" s="15"/>
      <c r="C12" s="5"/>
      <c r="D12" s="5"/>
      <c r="E12" s="5"/>
      <c r="F12" s="5"/>
      <c r="G12" s="20"/>
      <c r="H12" s="19"/>
    </row>
    <row r="13" spans="1:8">
      <c r="A13" s="14" t="s">
        <v>102</v>
      </c>
      <c r="B13" s="18" t="s">
        <v>101</v>
      </c>
      <c r="C13" s="5"/>
      <c r="D13" s="5"/>
      <c r="E13" s="5"/>
      <c r="F13" s="5"/>
    </row>
    <row r="14" spans="1:8">
      <c r="A14" s="14" t="s">
        <v>100</v>
      </c>
      <c r="B14" s="18" t="s">
        <v>99</v>
      </c>
      <c r="C14" s="5"/>
      <c r="D14" s="5"/>
      <c r="E14" s="5"/>
      <c r="F14" s="5"/>
    </row>
    <row r="15" spans="1:8">
      <c r="A15" s="14" t="s">
        <v>98</v>
      </c>
      <c r="B15" s="18" t="s">
        <v>97</v>
      </c>
      <c r="C15" s="5"/>
      <c r="D15" s="5"/>
      <c r="E15" s="5"/>
      <c r="F15" s="5"/>
    </row>
    <row r="16" spans="1:8">
      <c r="A16" s="14" t="s">
        <v>96</v>
      </c>
      <c r="B16" s="18" t="s">
        <v>95</v>
      </c>
      <c r="C16" s="5"/>
      <c r="D16" s="5"/>
      <c r="E16" s="5"/>
      <c r="F16" s="5"/>
    </row>
    <row r="17" spans="1:8" ht="12.75" customHeight="1">
      <c r="A17" s="14" t="s">
        <v>94</v>
      </c>
      <c r="B17" s="18" t="s">
        <v>93</v>
      </c>
      <c r="C17" s="5"/>
      <c r="D17" s="5"/>
      <c r="E17" s="5"/>
      <c r="F17" s="5"/>
      <c r="G17" s="20"/>
      <c r="H17" s="19"/>
    </row>
    <row r="18" spans="1:8">
      <c r="A18" s="14" t="s">
        <v>92</v>
      </c>
      <c r="B18" s="18" t="s">
        <v>91</v>
      </c>
      <c r="C18" s="5"/>
      <c r="D18" s="5"/>
      <c r="E18" s="5"/>
      <c r="F18" s="5"/>
    </row>
    <row r="19" spans="1:8">
      <c r="A19" s="14" t="s">
        <v>90</v>
      </c>
      <c r="B19" s="18" t="s">
        <v>89</v>
      </c>
      <c r="C19" s="8"/>
      <c r="D19" s="8"/>
      <c r="E19" s="8"/>
      <c r="F19" s="8"/>
    </row>
    <row r="20" spans="1:8">
      <c r="A20" s="30" t="s">
        <v>88</v>
      </c>
      <c r="B20" s="31">
        <v>2</v>
      </c>
      <c r="C20" s="29">
        <f>SUM(C22:C30)</f>
        <v>0</v>
      </c>
      <c r="D20" s="29">
        <f t="shared" ref="D20:F20" si="0">SUM(D22:D30)</f>
        <v>0</v>
      </c>
      <c r="E20" s="29">
        <f t="shared" si="0"/>
        <v>0</v>
      </c>
      <c r="F20" s="29">
        <f t="shared" si="0"/>
        <v>0</v>
      </c>
    </row>
    <row r="21" spans="1:8">
      <c r="A21" s="14" t="s">
        <v>28</v>
      </c>
      <c r="B21" s="15"/>
      <c r="C21" s="5"/>
      <c r="D21" s="5"/>
      <c r="E21" s="5"/>
      <c r="F21" s="5"/>
    </row>
    <row r="22" spans="1:8">
      <c r="A22" s="14" t="s">
        <v>87</v>
      </c>
      <c r="B22" s="18" t="s">
        <v>86</v>
      </c>
      <c r="C22" s="5"/>
      <c r="D22" s="5"/>
      <c r="E22" s="5"/>
      <c r="F22" s="5"/>
    </row>
    <row r="23" spans="1:8">
      <c r="A23" s="14" t="s">
        <v>85</v>
      </c>
      <c r="B23" s="18" t="s">
        <v>84</v>
      </c>
      <c r="C23" s="5"/>
      <c r="D23" s="5"/>
      <c r="E23" s="5"/>
      <c r="F23" s="5"/>
    </row>
    <row r="24" spans="1:8" s="49" customFormat="1" ht="13.5" customHeight="1">
      <c r="A24" s="47" t="s">
        <v>116</v>
      </c>
      <c r="B24" s="10" t="s">
        <v>117</v>
      </c>
      <c r="C24" s="48"/>
      <c r="D24" s="48"/>
      <c r="E24" s="48"/>
      <c r="F24" s="48"/>
    </row>
    <row r="25" spans="1:8" s="49" customFormat="1" ht="13.5" customHeight="1">
      <c r="A25" s="47" t="s">
        <v>118</v>
      </c>
      <c r="B25" s="10" t="s">
        <v>119</v>
      </c>
      <c r="C25" s="48"/>
      <c r="D25" s="48"/>
      <c r="E25" s="48"/>
      <c r="F25" s="48"/>
    </row>
    <row r="26" spans="1:8" s="49" customFormat="1" ht="13.5" customHeight="1">
      <c r="A26" s="47" t="s">
        <v>120</v>
      </c>
      <c r="B26" s="10" t="s">
        <v>121</v>
      </c>
      <c r="C26" s="48"/>
      <c r="D26" s="48"/>
      <c r="E26" s="48"/>
      <c r="F26" s="48"/>
    </row>
    <row r="27" spans="1:8" s="49" customFormat="1" ht="13.5" customHeight="1">
      <c r="A27" s="47" t="s">
        <v>122</v>
      </c>
      <c r="B27" s="10" t="s">
        <v>123</v>
      </c>
      <c r="C27" s="48"/>
      <c r="D27" s="48"/>
      <c r="E27" s="48"/>
      <c r="F27" s="48"/>
    </row>
    <row r="28" spans="1:8" s="49" customFormat="1" ht="13.5" customHeight="1">
      <c r="A28" s="47" t="s">
        <v>124</v>
      </c>
      <c r="B28" s="10" t="s">
        <v>125</v>
      </c>
      <c r="C28" s="48"/>
      <c r="D28" s="48"/>
      <c r="E28" s="48"/>
      <c r="F28" s="48"/>
    </row>
    <row r="29" spans="1:8" s="49" customFormat="1" ht="13.5" customHeight="1">
      <c r="A29" s="47" t="s">
        <v>126</v>
      </c>
      <c r="B29" s="10" t="s">
        <v>127</v>
      </c>
      <c r="C29" s="48"/>
      <c r="D29" s="48"/>
      <c r="E29" s="48"/>
      <c r="F29" s="48"/>
    </row>
    <row r="30" spans="1:8" s="49" customFormat="1" ht="13.5" customHeight="1">
      <c r="A30" s="47" t="s">
        <v>128</v>
      </c>
      <c r="B30" s="10" t="s">
        <v>129</v>
      </c>
      <c r="C30" s="48"/>
      <c r="D30" s="48"/>
      <c r="E30" s="48"/>
      <c r="F30" s="48"/>
    </row>
    <row r="31" spans="1:8" ht="25.5">
      <c r="A31" s="30" t="s">
        <v>83</v>
      </c>
      <c r="B31" s="30">
        <v>3</v>
      </c>
      <c r="C31" s="30">
        <f>C33+C34+C35+C36+C37+C38</f>
        <v>0</v>
      </c>
      <c r="D31" s="30">
        <f>D33+D34+D35+D36+D37+D38</f>
        <v>0</v>
      </c>
      <c r="E31" s="30">
        <f>E33+E34+E35+E36+E37+E38</f>
        <v>0</v>
      </c>
      <c r="F31" s="30">
        <f>F33+F34+F35+F36+F37+F38</f>
        <v>0</v>
      </c>
    </row>
    <row r="32" spans="1:8">
      <c r="A32" s="14" t="s">
        <v>58</v>
      </c>
      <c r="B32" s="15"/>
      <c r="C32" s="5"/>
      <c r="D32" s="5"/>
      <c r="E32" s="5"/>
      <c r="F32" s="5"/>
    </row>
    <row r="33" spans="1:6">
      <c r="A33" s="14" t="s">
        <v>82</v>
      </c>
      <c r="B33" s="18" t="s">
        <v>81</v>
      </c>
      <c r="C33" s="5"/>
      <c r="D33" s="5"/>
      <c r="E33" s="5"/>
      <c r="F33" s="5"/>
    </row>
    <row r="34" spans="1:6">
      <c r="A34" s="14" t="s">
        <v>80</v>
      </c>
      <c r="B34" s="18" t="s">
        <v>79</v>
      </c>
      <c r="C34" s="5"/>
      <c r="D34" s="5"/>
      <c r="E34" s="5"/>
      <c r="F34" s="5"/>
    </row>
    <row r="35" spans="1:6">
      <c r="A35" s="17" t="s">
        <v>78</v>
      </c>
      <c r="B35" s="18" t="s">
        <v>77</v>
      </c>
      <c r="C35" s="5"/>
      <c r="D35" s="5"/>
      <c r="E35" s="5"/>
      <c r="F35" s="5"/>
    </row>
    <row r="36" spans="1:6">
      <c r="A36" s="14" t="s">
        <v>76</v>
      </c>
      <c r="B36" s="18" t="s">
        <v>75</v>
      </c>
      <c r="C36" s="5"/>
      <c r="D36" s="5"/>
      <c r="E36" s="5"/>
      <c r="F36" s="5"/>
    </row>
    <row r="37" spans="1:6">
      <c r="A37" s="14" t="s">
        <v>74</v>
      </c>
      <c r="B37" s="18" t="s">
        <v>73</v>
      </c>
      <c r="C37" s="5"/>
      <c r="D37" s="5"/>
      <c r="E37" s="5"/>
      <c r="F37" s="5"/>
    </row>
    <row r="38" spans="1:6" ht="25.5">
      <c r="A38" s="14" t="s">
        <v>72</v>
      </c>
      <c r="B38" s="18" t="s">
        <v>71</v>
      </c>
      <c r="C38" s="8"/>
      <c r="D38" s="8"/>
      <c r="E38" s="8"/>
      <c r="F38" s="8"/>
    </row>
    <row r="39" spans="1:6">
      <c r="A39" s="30" t="s">
        <v>70</v>
      </c>
      <c r="B39" s="30">
        <v>4</v>
      </c>
      <c r="C39" s="30">
        <f>SUM(C41:C42)</f>
        <v>0</v>
      </c>
      <c r="D39" s="30">
        <f>SUM(D41:D42)</f>
        <v>0</v>
      </c>
      <c r="E39" s="30">
        <f>SUM(E41:E42)</f>
        <v>0</v>
      </c>
      <c r="F39" s="30">
        <f>SUM(F41:F42)</f>
        <v>0</v>
      </c>
    </row>
    <row r="40" spans="1:6">
      <c r="A40" s="14" t="s">
        <v>69</v>
      </c>
      <c r="B40" s="15"/>
      <c r="C40" s="5"/>
      <c r="D40" s="5"/>
      <c r="E40" s="5"/>
      <c r="F40" s="5"/>
    </row>
    <row r="41" spans="1:6">
      <c r="A41" s="14" t="s">
        <v>68</v>
      </c>
      <c r="B41" s="18" t="s">
        <v>67</v>
      </c>
      <c r="C41" s="5"/>
      <c r="D41" s="5"/>
      <c r="E41" s="5"/>
      <c r="F41" s="5"/>
    </row>
    <row r="42" spans="1:6" ht="42" customHeight="1">
      <c r="A42" s="14" t="s">
        <v>66</v>
      </c>
      <c r="B42" s="10" t="s">
        <v>65</v>
      </c>
      <c r="C42" s="5"/>
      <c r="D42" s="5"/>
      <c r="E42" s="5"/>
      <c r="F42" s="5"/>
    </row>
    <row r="43" spans="1:6">
      <c r="A43" s="17" t="s">
        <v>64</v>
      </c>
      <c r="B43" s="15">
        <v>5</v>
      </c>
      <c r="C43" s="8"/>
      <c r="D43" s="8"/>
      <c r="E43" s="8"/>
      <c r="F43" s="8"/>
    </row>
    <row r="44" spans="1:6">
      <c r="A44" s="17" t="s">
        <v>130</v>
      </c>
      <c r="B44" s="15">
        <v>6</v>
      </c>
      <c r="C44" s="8">
        <f>SUM(C45:C46)</f>
        <v>0</v>
      </c>
      <c r="D44" s="8">
        <f t="shared" ref="D44:F44" si="1">SUM(D45:D46)</f>
        <v>0</v>
      </c>
      <c r="E44" s="8">
        <f t="shared" si="1"/>
        <v>0</v>
      </c>
      <c r="F44" s="8">
        <f t="shared" si="1"/>
        <v>0</v>
      </c>
    </row>
    <row r="45" spans="1:6" s="49" customFormat="1" ht="13.5" customHeight="1">
      <c r="A45" s="50" t="s">
        <v>131</v>
      </c>
      <c r="B45" s="10" t="s">
        <v>132</v>
      </c>
      <c r="C45" s="51"/>
      <c r="D45" s="51"/>
      <c r="E45" s="51"/>
      <c r="F45" s="51"/>
    </row>
    <row r="46" spans="1:6" s="49" customFormat="1" ht="13.5" customHeight="1">
      <c r="A46" s="50" t="s">
        <v>133</v>
      </c>
      <c r="B46" s="10" t="s">
        <v>134</v>
      </c>
      <c r="C46" s="51"/>
      <c r="D46" s="51"/>
      <c r="E46" s="51"/>
      <c r="F46" s="51"/>
    </row>
    <row r="47" spans="1:6" ht="15" customHeight="1">
      <c r="A47" s="17" t="s">
        <v>63</v>
      </c>
      <c r="B47" s="15">
        <v>7</v>
      </c>
      <c r="C47" s="8"/>
      <c r="D47" s="8"/>
      <c r="E47" s="8"/>
      <c r="F47" s="8"/>
    </row>
    <row r="48" spans="1:6" ht="15.75" customHeight="1">
      <c r="A48" s="17" t="s">
        <v>62</v>
      </c>
      <c r="B48" s="15">
        <v>8</v>
      </c>
      <c r="C48" s="8"/>
      <c r="D48" s="8"/>
      <c r="E48" s="8"/>
      <c r="F48" s="8"/>
    </row>
    <row r="49" spans="1:6">
      <c r="A49" s="14" t="s">
        <v>61</v>
      </c>
      <c r="B49" s="15">
        <v>9</v>
      </c>
      <c r="C49" s="8"/>
      <c r="D49" s="8"/>
      <c r="E49" s="8"/>
      <c r="F49" s="8"/>
    </row>
    <row r="50" spans="1:6">
      <c r="A50" s="33" t="s">
        <v>60</v>
      </c>
      <c r="B50" s="34">
        <v>10</v>
      </c>
      <c r="C50" s="35">
        <f>C11+C20+C31+C39+C43+C44+C47+C48+C49</f>
        <v>0</v>
      </c>
      <c r="D50" s="35">
        <f>D11+D20+D31+D39+D43+D44+D47+D48+D49</f>
        <v>0</v>
      </c>
      <c r="E50" s="35">
        <f>E11+E20+E31+E39+E43+E44+E47+E48+E49</f>
        <v>0</v>
      </c>
      <c r="F50" s="35">
        <f>F11+F20+F31+F39+F43+F44+F47+F48+F49</f>
        <v>0</v>
      </c>
    </row>
    <row r="51" spans="1:6">
      <c r="A51" s="16"/>
      <c r="B51" s="15"/>
      <c r="C51" s="32"/>
      <c r="D51" s="32"/>
      <c r="E51" s="32"/>
      <c r="F51" s="32"/>
    </row>
    <row r="52" spans="1:6">
      <c r="A52" s="30" t="s">
        <v>59</v>
      </c>
      <c r="B52" s="31">
        <v>11</v>
      </c>
      <c r="C52" s="29">
        <f>C54+C55+C56+C57+C58+C59</f>
        <v>0</v>
      </c>
      <c r="D52" s="29">
        <f>D54+D55+D56+D57+D58+D59</f>
        <v>0</v>
      </c>
      <c r="E52" s="29">
        <f>E54+E55+E56+E57+E58+E59</f>
        <v>0</v>
      </c>
      <c r="F52" s="29">
        <f>F54+F55+F56+F57+F58+F59</f>
        <v>0</v>
      </c>
    </row>
    <row r="53" spans="1:6">
      <c r="A53" s="14" t="s">
        <v>58</v>
      </c>
      <c r="B53" s="15"/>
      <c r="C53" s="5"/>
      <c r="D53" s="5"/>
      <c r="E53" s="5"/>
      <c r="F53" s="5"/>
    </row>
    <row r="54" spans="1:6">
      <c r="A54" s="14" t="s">
        <v>57</v>
      </c>
      <c r="B54" s="10" t="s">
        <v>56</v>
      </c>
      <c r="C54" s="5"/>
      <c r="D54" s="5"/>
      <c r="E54" s="5"/>
      <c r="F54" s="5"/>
    </row>
    <row r="55" spans="1:6">
      <c r="A55" s="14" t="s">
        <v>55</v>
      </c>
      <c r="B55" s="10" t="s">
        <v>54</v>
      </c>
      <c r="C55" s="5"/>
      <c r="D55" s="5"/>
      <c r="E55" s="5"/>
      <c r="F55" s="5"/>
    </row>
    <row r="56" spans="1:6">
      <c r="A56" s="7" t="s">
        <v>53</v>
      </c>
      <c r="B56" s="10" t="s">
        <v>52</v>
      </c>
      <c r="C56" s="5"/>
      <c r="D56" s="5"/>
      <c r="E56" s="5"/>
      <c r="F56" s="5"/>
    </row>
    <row r="57" spans="1:6">
      <c r="A57" s="14" t="s">
        <v>51</v>
      </c>
      <c r="B57" s="10" t="s">
        <v>50</v>
      </c>
      <c r="C57" s="5"/>
      <c r="D57" s="5"/>
      <c r="E57" s="5"/>
      <c r="F57" s="5"/>
    </row>
    <row r="58" spans="1:6">
      <c r="A58" s="14" t="s">
        <v>49</v>
      </c>
      <c r="B58" s="10" t="s">
        <v>48</v>
      </c>
      <c r="C58" s="5"/>
      <c r="D58" s="5"/>
      <c r="E58" s="5"/>
      <c r="F58" s="5"/>
    </row>
    <row r="59" spans="1:6">
      <c r="A59" s="7" t="s">
        <v>47</v>
      </c>
      <c r="B59" s="10" t="s">
        <v>46</v>
      </c>
      <c r="C59" s="8"/>
      <c r="D59" s="8"/>
      <c r="E59" s="8"/>
      <c r="F59" s="8"/>
    </row>
    <row r="60" spans="1:6">
      <c r="A60" s="27" t="s">
        <v>45</v>
      </c>
      <c r="B60" s="36">
        <v>12</v>
      </c>
      <c r="C60" s="29">
        <f>SUM(C62:C66)</f>
        <v>0</v>
      </c>
      <c r="D60" s="29">
        <f t="shared" ref="D60:E60" si="2">SUM(D62:D66)</f>
        <v>0</v>
      </c>
      <c r="E60" s="29">
        <f t="shared" si="2"/>
        <v>0</v>
      </c>
      <c r="F60" s="29">
        <f>SUM(F62:F66)</f>
        <v>0</v>
      </c>
    </row>
    <row r="61" spans="1:6">
      <c r="A61" s="7" t="s">
        <v>28</v>
      </c>
      <c r="B61" s="6"/>
      <c r="C61" s="5"/>
      <c r="D61" s="5"/>
      <c r="E61" s="5"/>
      <c r="F61" s="5"/>
    </row>
    <row r="62" spans="1:6">
      <c r="A62" s="7" t="s">
        <v>44</v>
      </c>
      <c r="B62" s="10" t="s">
        <v>43</v>
      </c>
      <c r="C62" s="5"/>
      <c r="D62" s="5"/>
      <c r="E62" s="5"/>
      <c r="F62" s="5"/>
    </row>
    <row r="63" spans="1:6">
      <c r="A63" s="7" t="s">
        <v>42</v>
      </c>
      <c r="B63" s="10" t="s">
        <v>41</v>
      </c>
      <c r="C63" s="5"/>
      <c r="D63" s="5"/>
      <c r="E63" s="5"/>
      <c r="F63" s="5"/>
    </row>
    <row r="64" spans="1:6" s="49" customFormat="1" ht="13.5" customHeight="1">
      <c r="A64" s="52" t="s">
        <v>135</v>
      </c>
      <c r="B64" s="10" t="s">
        <v>136</v>
      </c>
      <c r="C64" s="48"/>
      <c r="D64" s="48"/>
      <c r="E64" s="48"/>
      <c r="F64" s="48"/>
    </row>
    <row r="65" spans="1:6" s="49" customFormat="1" ht="13.5" customHeight="1">
      <c r="A65" s="52" t="s">
        <v>137</v>
      </c>
      <c r="B65" s="10" t="s">
        <v>138</v>
      </c>
      <c r="C65" s="48"/>
      <c r="D65" s="48"/>
      <c r="E65" s="48"/>
      <c r="F65" s="48"/>
    </row>
    <row r="66" spans="1:6" s="49" customFormat="1" ht="13.5" customHeight="1">
      <c r="A66" s="52" t="s">
        <v>139</v>
      </c>
      <c r="B66" s="10" t="s">
        <v>140</v>
      </c>
      <c r="C66" s="48"/>
      <c r="D66" s="48"/>
      <c r="E66" s="48"/>
      <c r="F66" s="48"/>
    </row>
    <row r="67" spans="1:6" ht="25.5">
      <c r="A67" s="27" t="s">
        <v>40</v>
      </c>
      <c r="B67" s="36">
        <v>13</v>
      </c>
      <c r="C67" s="29">
        <f>SUM(C69:C73)</f>
        <v>0</v>
      </c>
      <c r="D67" s="29">
        <f>SUM(D69:D73)</f>
        <v>0</v>
      </c>
      <c r="E67" s="29">
        <f>SUM(E69:E73)</f>
        <v>0</v>
      </c>
      <c r="F67" s="29">
        <f>SUM(F69:F73)</f>
        <v>0</v>
      </c>
    </row>
    <row r="68" spans="1:6">
      <c r="A68" s="7" t="s">
        <v>28</v>
      </c>
      <c r="B68" s="26"/>
      <c r="C68" s="5"/>
      <c r="D68" s="5"/>
      <c r="E68" s="5"/>
      <c r="F68" s="5"/>
    </row>
    <row r="69" spans="1:6">
      <c r="A69" s="7" t="s">
        <v>39</v>
      </c>
      <c r="B69" s="10" t="s">
        <v>38</v>
      </c>
      <c r="C69" s="5"/>
      <c r="D69" s="5"/>
      <c r="E69" s="5"/>
      <c r="F69" s="5"/>
    </row>
    <row r="70" spans="1:6">
      <c r="A70" s="7" t="s">
        <v>37</v>
      </c>
      <c r="B70" s="10" t="s">
        <v>36</v>
      </c>
      <c r="C70" s="5"/>
      <c r="D70" s="5"/>
      <c r="E70" s="5"/>
      <c r="F70" s="5"/>
    </row>
    <row r="71" spans="1:6">
      <c r="A71" s="7" t="s">
        <v>35</v>
      </c>
      <c r="B71" s="10" t="s">
        <v>34</v>
      </c>
      <c r="C71" s="5"/>
      <c r="D71" s="5"/>
      <c r="E71" s="5"/>
      <c r="F71" s="5"/>
    </row>
    <row r="72" spans="1:6">
      <c r="A72" s="7" t="s">
        <v>33</v>
      </c>
      <c r="B72" s="10" t="s">
        <v>32</v>
      </c>
      <c r="C72" s="5"/>
      <c r="D72" s="5"/>
      <c r="E72" s="5"/>
      <c r="F72" s="5"/>
    </row>
    <row r="73" spans="1:6">
      <c r="A73" s="7" t="s">
        <v>31</v>
      </c>
      <c r="B73" s="10" t="s">
        <v>30</v>
      </c>
      <c r="C73" s="5"/>
      <c r="D73" s="5"/>
      <c r="E73" s="5"/>
      <c r="F73" s="5"/>
    </row>
    <row r="74" spans="1:6">
      <c r="A74" s="27" t="s">
        <v>29</v>
      </c>
      <c r="B74" s="36">
        <v>14</v>
      </c>
      <c r="C74" s="29">
        <f>SUM(C76:C79)</f>
        <v>0</v>
      </c>
      <c r="D74" s="29">
        <f>SUM(D76:D79)</f>
        <v>0</v>
      </c>
      <c r="E74" s="29">
        <f>SUM(E76:E79)</f>
        <v>0</v>
      </c>
      <c r="F74" s="29">
        <f>SUM(F76:F79)</f>
        <v>0</v>
      </c>
    </row>
    <row r="75" spans="1:6">
      <c r="A75" s="7" t="s">
        <v>28</v>
      </c>
      <c r="B75" s="6"/>
      <c r="C75" s="5"/>
      <c r="D75" s="5"/>
      <c r="E75" s="5"/>
      <c r="F75" s="5"/>
    </row>
    <row r="76" spans="1:6">
      <c r="A76" s="7" t="s">
        <v>27</v>
      </c>
      <c r="B76" s="10" t="s">
        <v>26</v>
      </c>
      <c r="C76" s="5"/>
      <c r="D76" s="5"/>
      <c r="E76" s="5"/>
      <c r="F76" s="5"/>
    </row>
    <row r="77" spans="1:6">
      <c r="A77" s="7" t="s">
        <v>25</v>
      </c>
      <c r="B77" s="10" t="s">
        <v>24</v>
      </c>
      <c r="C77" s="5"/>
      <c r="D77" s="5"/>
      <c r="E77" s="5"/>
      <c r="F77" s="5"/>
    </row>
    <row r="78" spans="1:6">
      <c r="A78" s="7" t="s">
        <v>23</v>
      </c>
      <c r="B78" s="10" t="s">
        <v>22</v>
      </c>
      <c r="C78" s="5"/>
      <c r="D78" s="5"/>
      <c r="E78" s="5"/>
      <c r="F78" s="5"/>
    </row>
    <row r="79" spans="1:6" ht="30.75" customHeight="1">
      <c r="A79" s="7" t="s">
        <v>21</v>
      </c>
      <c r="B79" s="10" t="s">
        <v>20</v>
      </c>
      <c r="C79" s="5"/>
      <c r="D79" s="5"/>
      <c r="E79" s="5"/>
      <c r="F79" s="5"/>
    </row>
    <row r="80" spans="1:6">
      <c r="A80" s="7" t="s">
        <v>19</v>
      </c>
      <c r="B80" s="6">
        <v>15</v>
      </c>
      <c r="C80" s="8"/>
      <c r="D80" s="8"/>
      <c r="E80" s="8"/>
      <c r="F80" s="8"/>
    </row>
    <row r="81" spans="1:7">
      <c r="A81" s="7" t="s">
        <v>18</v>
      </c>
      <c r="B81" s="6">
        <v>16</v>
      </c>
      <c r="C81" s="8"/>
      <c r="D81" s="8"/>
      <c r="E81" s="8"/>
      <c r="F81" s="8"/>
    </row>
    <row r="82" spans="1:7" ht="13.5" customHeight="1">
      <c r="A82" s="33" t="s">
        <v>17</v>
      </c>
      <c r="B82" s="34">
        <v>17</v>
      </c>
      <c r="C82" s="35">
        <f>C52+C60+C67+C74+C80+C81</f>
        <v>0</v>
      </c>
      <c r="D82" s="35">
        <f>D52+D60+D67+D74+D80+D81</f>
        <v>0</v>
      </c>
      <c r="E82" s="35">
        <f>E52+E60+E67+E74+E80+E81</f>
        <v>0</v>
      </c>
      <c r="F82" s="35">
        <f>F52+F60+F67+F74+F80+F81</f>
        <v>0</v>
      </c>
    </row>
    <row r="83" spans="1:7" ht="18.75" customHeight="1">
      <c r="A83" s="13"/>
      <c r="B83" s="6"/>
      <c r="C83" s="8"/>
      <c r="D83" s="8"/>
      <c r="E83" s="8"/>
      <c r="F83" s="8"/>
      <c r="G83" s="9"/>
    </row>
    <row r="84" spans="1:7" ht="15" customHeight="1">
      <c r="A84" s="37" t="s">
        <v>16</v>
      </c>
      <c r="B84" s="38" t="s">
        <v>15</v>
      </c>
      <c r="C84" s="29">
        <f>C50-C82</f>
        <v>0</v>
      </c>
      <c r="D84" s="29">
        <f>D50-D82</f>
        <v>0</v>
      </c>
      <c r="E84" s="29">
        <f>E50-E82</f>
        <v>0</v>
      </c>
      <c r="F84" s="29">
        <f>F50-F82</f>
        <v>0</v>
      </c>
    </row>
    <row r="85" spans="1:7" ht="18" customHeight="1">
      <c r="A85" s="11" t="s">
        <v>14</v>
      </c>
      <c r="B85" s="12" t="s">
        <v>13</v>
      </c>
      <c r="C85" s="5"/>
      <c r="D85" s="5"/>
      <c r="E85" s="5"/>
      <c r="F85" s="5"/>
    </row>
    <row r="86" spans="1:7" ht="18" customHeight="1">
      <c r="A86" s="11"/>
      <c r="B86" s="12"/>
      <c r="C86" s="5"/>
      <c r="D86" s="5"/>
      <c r="E86" s="5"/>
      <c r="F86" s="5"/>
    </row>
    <row r="87" spans="1:7" ht="28.5" customHeight="1">
      <c r="A87" s="39" t="s">
        <v>12</v>
      </c>
      <c r="B87" s="36">
        <v>20</v>
      </c>
      <c r="C87" s="29">
        <f>C84-C85</f>
        <v>0</v>
      </c>
      <c r="D87" s="29">
        <f>D84-D85</f>
        <v>0</v>
      </c>
      <c r="E87" s="29">
        <f>E84-E85</f>
        <v>0</v>
      </c>
      <c r="F87" s="29">
        <f>F84-F85</f>
        <v>0</v>
      </c>
    </row>
    <row r="88" spans="1:7" ht="14.25" customHeight="1">
      <c r="A88" s="39"/>
      <c r="B88" s="36"/>
      <c r="C88" s="29"/>
      <c r="D88" s="29"/>
      <c r="E88" s="29"/>
      <c r="F88" s="29"/>
    </row>
    <row r="89" spans="1:7">
      <c r="A89" s="7" t="s">
        <v>11</v>
      </c>
      <c r="B89" s="6">
        <v>21</v>
      </c>
      <c r="C89" s="8"/>
      <c r="D89" s="8"/>
      <c r="E89" s="8"/>
      <c r="F89" s="8"/>
    </row>
    <row r="90" spans="1:7">
      <c r="A90" s="7"/>
      <c r="B90" s="6"/>
      <c r="C90" s="8"/>
      <c r="D90" s="8"/>
      <c r="E90" s="8"/>
      <c r="F90" s="8"/>
    </row>
    <row r="91" spans="1:7" ht="25.5">
      <c r="A91" s="44" t="s">
        <v>10</v>
      </c>
      <c r="B91" s="45">
        <v>22</v>
      </c>
      <c r="C91" s="46">
        <f>C87-C89</f>
        <v>0</v>
      </c>
      <c r="D91" s="46">
        <f>D87-D89</f>
        <v>0</v>
      </c>
      <c r="E91" s="46">
        <f>E87-E89</f>
        <v>0</v>
      </c>
      <c r="F91" s="46">
        <f>F87-F89</f>
        <v>0</v>
      </c>
    </row>
    <row r="92" spans="1:7">
      <c r="A92" s="7" t="s">
        <v>9</v>
      </c>
      <c r="B92" s="6">
        <v>23</v>
      </c>
      <c r="C92" s="8"/>
      <c r="D92" s="8"/>
      <c r="E92" s="8"/>
      <c r="F92" s="8"/>
    </row>
    <row r="93" spans="1:7">
      <c r="A93" s="7"/>
      <c r="B93" s="6"/>
      <c r="C93" s="8"/>
      <c r="D93" s="8"/>
      <c r="E93" s="8"/>
      <c r="F93" s="8"/>
    </row>
    <row r="94" spans="1:7">
      <c r="A94" s="7" t="s">
        <v>8</v>
      </c>
      <c r="B94" s="6">
        <v>24</v>
      </c>
      <c r="C94" s="8"/>
      <c r="D94" s="8"/>
      <c r="E94" s="8"/>
      <c r="F94" s="8"/>
    </row>
    <row r="95" spans="1:7">
      <c r="A95" s="7"/>
      <c r="B95" s="6"/>
      <c r="C95" s="8"/>
      <c r="D95" s="8"/>
      <c r="E95" s="8"/>
      <c r="F95" s="8"/>
    </row>
    <row r="96" spans="1:7" ht="13.5" customHeight="1">
      <c r="A96" s="33" t="s">
        <v>7</v>
      </c>
      <c r="B96" s="34">
        <v>25</v>
      </c>
      <c r="C96" s="35">
        <f>C91+C92-C94</f>
        <v>0</v>
      </c>
      <c r="D96" s="35">
        <f>D91+D92-D94</f>
        <v>0</v>
      </c>
      <c r="E96" s="35">
        <f>E91+E92-E94</f>
        <v>0</v>
      </c>
      <c r="F96" s="35">
        <f>F91+F92-F94</f>
        <v>0</v>
      </c>
    </row>
    <row r="97" spans="1:6">
      <c r="D97" s="4"/>
    </row>
    <row r="98" spans="1:6" ht="26.25" customHeight="1">
      <c r="A98" s="61" t="s">
        <v>6</v>
      </c>
      <c r="B98" s="61"/>
      <c r="C98" s="61"/>
      <c r="D98" s="61"/>
      <c r="E98" s="61"/>
      <c r="F98" s="61"/>
    </row>
    <row r="99" spans="1:6" ht="14.25" customHeight="1"/>
    <row r="101" spans="1:6" ht="33" customHeight="1">
      <c r="A101" s="58" t="s">
        <v>5</v>
      </c>
      <c r="B101" s="59"/>
      <c r="C101" s="60"/>
      <c r="D101" s="1" t="s">
        <v>2</v>
      </c>
    </row>
    <row r="102" spans="1:6">
      <c r="A102" s="2"/>
    </row>
    <row r="103" spans="1:6">
      <c r="A103" s="3" t="s">
        <v>4</v>
      </c>
      <c r="D103" s="1" t="s">
        <v>2</v>
      </c>
    </row>
    <row r="104" spans="1:6">
      <c r="A104" s="2"/>
    </row>
    <row r="105" spans="1:6">
      <c r="A105" s="2" t="s">
        <v>3</v>
      </c>
      <c r="D105" s="1" t="s">
        <v>2</v>
      </c>
    </row>
    <row r="106" spans="1:6">
      <c r="A106" s="2"/>
    </row>
    <row r="107" spans="1:6">
      <c r="A107" s="1" t="s">
        <v>1</v>
      </c>
    </row>
    <row r="109" spans="1:6">
      <c r="A109" s="2" t="s">
        <v>0</v>
      </c>
    </row>
    <row r="110" spans="1:6">
      <c r="A110" s="2"/>
    </row>
    <row r="111" spans="1:6">
      <c r="A111" s="2"/>
    </row>
    <row r="112" spans="1:6">
      <c r="A112" s="2"/>
    </row>
  </sheetData>
  <mergeCells count="7">
    <mergeCell ref="E1:F1"/>
    <mergeCell ref="A3:F3"/>
    <mergeCell ref="A4:F4"/>
    <mergeCell ref="A5:F5"/>
    <mergeCell ref="A101:C101"/>
    <mergeCell ref="A98:F98"/>
    <mergeCell ref="A6:F6"/>
  </mergeCells>
  <pageMargins left="0.78740157480314965" right="0.78740157480314965" top="0.98425196850393704" bottom="0.98425196850393704" header="0.51181102362204722" footer="0.51181102362204722"/>
  <pageSetup paperSize="8" scale="82" orientation="portrait" r:id="rId1"/>
  <headerFooter alignWithMargins="0"/>
  <rowBreaks count="1" manualBreakCount="1">
    <brk id="96" max="9" man="1"/>
  </rowBreaks>
  <colBreaks count="1" manualBreakCount="1">
    <brk id="6" max="82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Ф2 АПК ОО ЦДЦБ</vt:lpstr>
      <vt:lpstr>'Ф2 АПК ОО ЦДЦБ'!Область_печати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Марат Мадыбаев</cp:lastModifiedBy>
  <dcterms:created xsi:type="dcterms:W3CDTF">2015-02-03T03:33:36Z</dcterms:created>
  <dcterms:modified xsi:type="dcterms:W3CDTF">2015-03-30T07:33:50Z</dcterms:modified>
</cp:coreProperties>
</file>