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20" windowWidth="15600" windowHeight="11760"/>
  </bookViews>
  <sheets>
    <sheet name="6 кл" sheetId="1" r:id="rId1"/>
  </sheets>
  <calcPr calcId="125725"/>
</workbook>
</file>

<file path=xl/calcChain.xml><?xml version="1.0" encoding="utf-8"?>
<calcChain xmlns="http://schemas.openxmlformats.org/spreadsheetml/2006/main">
  <c r="L53" i="1"/>
  <c r="H53"/>
  <c r="L48"/>
  <c r="H48"/>
  <c r="L42"/>
  <c r="H42"/>
  <c r="L40"/>
  <c r="H40"/>
  <c r="L36"/>
  <c r="H36"/>
  <c r="L34"/>
  <c r="H34"/>
  <c r="L30"/>
  <c r="H30"/>
  <c r="L28"/>
  <c r="H28"/>
  <c r="L25"/>
  <c r="H25"/>
  <c r="L18"/>
  <c r="H18"/>
  <c r="H58" l="1"/>
  <c r="L60"/>
</calcChain>
</file>

<file path=xl/sharedStrings.xml><?xml version="1.0" encoding="utf-8"?>
<sst xmlns="http://schemas.openxmlformats.org/spreadsheetml/2006/main" count="195" uniqueCount="104">
  <si>
    <t>_____________________________________________________________________________________</t>
  </si>
  <si>
    <t>(полное наименование ипотечной организации)</t>
  </si>
  <si>
    <t xml:space="preserve"> по состоянию на «___» «_________________» 20__ года</t>
  </si>
  <si>
    <t>(в тысячах тенге)</t>
  </si>
  <si>
    <t>Номера счетов</t>
  </si>
  <si>
    <t xml:space="preserve">Наименования  счетов </t>
  </si>
  <si>
    <t>Сумма</t>
  </si>
  <si>
    <t>VI класс - УСЛОВНЫЕ И ВОЗМОЖНЫЕ ТРЕБОВАНИЯ</t>
  </si>
  <si>
    <t>VI класс - УСЛОВНЫЕ И ВОЗМОЖНЫЕ ОБЯЗАТЕЛЬСТВА</t>
  </si>
  <si>
    <t>Счета по гарантиям</t>
  </si>
  <si>
    <t>Возможные требования по принятым гарантиям</t>
  </si>
  <si>
    <t>Возможное уменьшение требований по принятым гарантиям</t>
  </si>
  <si>
    <t>Требования к должнику по форфейтинговым операциям</t>
  </si>
  <si>
    <t xml:space="preserve">Обязательства по форфейтинговым операциям </t>
  </si>
  <si>
    <t>Счета по размещению вкладов и займов в будущем</t>
  </si>
  <si>
    <t xml:space="preserve">Будущие требования по размещаемым вкладам </t>
  </si>
  <si>
    <t>Условные обязательства по размещению вкладов в будущем</t>
  </si>
  <si>
    <t>Условные требования по безотзывным займам, предоставляемым в будущем</t>
  </si>
  <si>
    <t>Условные обязательства по безотзывным займам, предоставляемым в будущем</t>
  </si>
  <si>
    <t>Условные требования по отзывным займам, предоставляемым в будущем</t>
  </si>
  <si>
    <t>Условные обязательства по отзывным займам, предоставляемым в будущем</t>
  </si>
  <si>
    <t>Счета по получению вкладов и займов в будущем</t>
  </si>
  <si>
    <t>Условные требования по получению вкладов в будущем</t>
  </si>
  <si>
    <t xml:space="preserve">Будущие обязательства по получаемым вкладам </t>
  </si>
  <si>
    <t>Условные требования по получению займов в будущем</t>
  </si>
  <si>
    <t xml:space="preserve">Будущие обязательства по получаемым займам </t>
  </si>
  <si>
    <t>Условные требования по предоставленным займам</t>
  </si>
  <si>
    <t>Условные обязательства по предоставленным займам</t>
  </si>
  <si>
    <t>Возможные требования по векселям</t>
  </si>
  <si>
    <t>Возможные обязательства по векселям</t>
  </si>
  <si>
    <t>Счета по приобретению ценных бумаг и по иным производным финансовым инструментам</t>
  </si>
  <si>
    <t>Условные требования по покупке ценных бумаг</t>
  </si>
  <si>
    <t>Условные обязательства по покупке ценных бумаг</t>
  </si>
  <si>
    <t>Условные требования по операциям фьючерс</t>
  </si>
  <si>
    <t>Условные обязательства по операциям фьючерс</t>
  </si>
  <si>
    <t xml:space="preserve">Приобретенное соглашение о будущем вознаграждении </t>
  </si>
  <si>
    <t>Процентный своп</t>
  </si>
  <si>
    <t>Счета по продаже ценных бумаг и по иным производным финансовым инструментам</t>
  </si>
  <si>
    <t>Условные требования по продаже ценных бумаг</t>
  </si>
  <si>
    <t>Условные обязательства по продаже ценных бумаг</t>
  </si>
  <si>
    <t>Реализованное соглашение о будущем вознаграждении</t>
  </si>
  <si>
    <t>Реализованное соглашение о будущем вознаграждении - контрсчет</t>
  </si>
  <si>
    <t>Условные требования по прочим производным финансовым инструментам</t>
  </si>
  <si>
    <t>Условные обязательства по прочим производным финансовым инструментам</t>
  </si>
  <si>
    <t>Счета по купле-продаже валютных ценностей</t>
  </si>
  <si>
    <t>Условные требования по купле-продаже иностранной валюты</t>
  </si>
  <si>
    <t>Условные обязательства по купле-продаже иностранной валюты</t>
  </si>
  <si>
    <t>Условные требования по купле-продаже аффинированных драгоценных металлов</t>
  </si>
  <si>
    <t>Условные обязательства по купле-продаже аффинированных драгоценных металлов</t>
  </si>
  <si>
    <t>Позиция по сделкам с аффинированными драгоценными металлами</t>
  </si>
  <si>
    <t>Позиция по сделкам с прочими активами</t>
  </si>
  <si>
    <t>Позиция по сделкам с иностранной валютой</t>
  </si>
  <si>
    <t>Позиция по сделкам с ценными бумагами</t>
  </si>
  <si>
    <t xml:space="preserve">Итого Условные и возможные обязательства 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</si>
  <si>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</si>
  <si>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</si>
  <si>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</si>
  <si>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</si>
  <si>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Счета по аккредитивам</t>
  </si>
  <si>
    <t>Возможные требования по выпущенным непокрытым аккредитивам</t>
  </si>
  <si>
    <t>Возможные обязательства по выпущенным непокрытым аккредитивам</t>
  </si>
  <si>
    <t>Возможные требования по подтвержденным непокрытым аккредитивам</t>
  </si>
  <si>
    <t>Возможные обязательства по подтвержденным непокрытым аккредитивам</t>
  </si>
  <si>
    <t>Возможные требования по выпущенным покрытым аккредитивам</t>
  </si>
  <si>
    <t>Возможные обязательства по выпущенным покрытым аккредитивам</t>
  </si>
  <si>
    <t>Возможные требования по подтвержденным покрытым аккредитивам</t>
  </si>
  <si>
    <t>Возможные обязательства по подтвержденным покрытым аккредитивам</t>
  </si>
  <si>
    <t>Возможные требования банка-бенефициара по непокрытым аккредитивам</t>
  </si>
  <si>
    <t>Возможные обязательства банка-бенефициара по непокрытым аккредитивам</t>
  </si>
  <si>
    <t xml:space="preserve">Возможные требования рамбурсирующего банка к банку-эмитенту </t>
  </si>
  <si>
    <t>Возможные обязательства по рамбурсированию</t>
  </si>
  <si>
    <t xml:space="preserve">Счета по гарантиям </t>
  </si>
  <si>
    <t>Возможные требования по выданным или подтвержденным гарантиям</t>
  </si>
  <si>
    <t>Возможные обязательства по выданным или подтвержденным гарантиям</t>
  </si>
  <si>
    <t>Счета по неподвижным вкладам клиентов</t>
  </si>
  <si>
    <t>Неподвижные вклады клиентов</t>
  </si>
  <si>
    <t>Обязательства по неподвижным вкладам клиентов</t>
  </si>
  <si>
    <t>Условные требования по приобретенным опционным операциям - «колл/пут»</t>
  </si>
  <si>
    <t>Условные обязательства по приобретенным опционным операциям - «колл(пут)» - контрсчет</t>
  </si>
  <si>
    <t>Приобретенное соглашение о будущем вознаграждении - контрсчет</t>
  </si>
  <si>
    <t>Условные требования по проданным опционным операциям - «колл(пут)» - контрсчет</t>
  </si>
  <si>
    <t>Условные обязательства по проданным опционным операциям - «колл(пут)»</t>
  </si>
  <si>
    <t xml:space="preserve">Позиция по сделкам с аффинированными драгоценными металлами </t>
  </si>
  <si>
    <t xml:space="preserve">Итого Условные и возможные требования </t>
  </si>
  <si>
    <t>6998_</t>
  </si>
  <si>
    <t>6999_</t>
  </si>
  <si>
    <t>array</t>
  </si>
  <si>
    <t>v</t>
  </si>
  <si>
    <t>end</t>
  </si>
  <si>
    <t>___________________</t>
  </si>
  <si>
    <t>(подпись)</t>
  </si>
  <si>
    <t>Дата подписания отчета</t>
  </si>
  <si>
    <t xml:space="preserve">Приложение 3
к постановлению Правления
Национального Банка
Республики Казахстан
от 8 мая 2015 года № 74
</t>
  </si>
  <si>
    <t xml:space="preserve">Таблица 1. Отчет об остатках на внебалансовых счетах условных и возможных требований и обязательств
</t>
  </si>
  <si>
    <t>Начальник ответственного подразделения</t>
  </si>
  <si>
    <t xml:space="preserve"> фамилия, имя, отчество (при его наличии)</t>
  </si>
  <si>
    <t>(телефон)</t>
  </si>
  <si>
    <t>begin</t>
  </si>
  <si>
    <t>{"excelCells": [{"name": "ceo", "type": "s", "position": "5"}]}</t>
  </si>
  <si>
    <t>{"excelCells": [{"name": "chief_accountant", "type": "s", "position": "5"}]}</t>
  </si>
  <si>
    <t>{"excelCells": [{"name": "crd", "type": "s", "position": "5"}]}</t>
  </si>
  <si>
    <t>{"excelCells": [{"name": "drafted_by", "type": "s", "position": "5"}]}</t>
  </si>
  <si>
    <t>//{"excelCells": [{"name": "signature_date", "type": "d", "position": "5"}]}</t>
  </si>
  <si>
    <t>{"form": "kl_6", "xls_version":"3", "begin_date":"01.01.2014","tables": [_x000D_
{"name": "array", "key": "num_acc", "position": "1","positionKey": "2", "columns": [_x000D_
{"name": "sum", "type": "n0", "position": "7"}_x000D_
]},_x000D_
{"name": "array", "key": "num_acc", "position": "3","positionKey": "4", "columns": [_x000D_
{"name": "sum", "type": "n0", "position": "11"}_x000D_
]}_x000D_
]}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</si>
</sst>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</font>
    <font>
      <sz val="10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7" fillId="0" borderId="0"/>
  </cellStyleXfs>
  <cellXfs count="52">
    <xf numFmtId="0" fontId="0" fillId="0" borderId="0" xfId="0"/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/>
    <xf numFmtId="0" fontId="1" fillId="0" borderId="0" xfId="0" applyFont="1" applyFill="1" applyBorder="1" applyAlignment="1" applyProtection="1">
      <alignment horizontal="centerContinuous"/>
    </xf>
    <xf numFmtId="0" fontId="1" fillId="0" borderId="0" xfId="0" applyFont="1" applyFill="1" applyProtection="1"/>
    <xf numFmtId="0" fontId="1" fillId="0" borderId="0" xfId="0" applyFont="1" applyFill="1" applyAlignment="1" applyProtection="1"/>
    <xf numFmtId="0" fontId="1" fillId="0" borderId="0" xfId="1" applyFont="1" applyFill="1" applyBorder="1" applyAlignment="1" applyProtection="1">
      <alignment vertical="top"/>
    </xf>
    <xf numFmtId="0" fontId="1" fillId="0" borderId="1" xfId="1" applyFont="1" applyFill="1" applyBorder="1" applyAlignment="1" applyProtection="1">
      <alignment vertical="top"/>
    </xf>
    <xf numFmtId="0" fontId="2" fillId="0" borderId="1" xfId="1" applyFont="1" applyFill="1" applyBorder="1" applyAlignment="1" applyProtection="1">
      <alignment vertical="top"/>
    </xf>
    <xf numFmtId="0" fontId="2" fillId="0" borderId="1" xfId="1" applyFont="1" applyFill="1" applyBorder="1" applyAlignment="1" applyProtection="1">
      <alignment vertical="top" wrapText="1"/>
    </xf>
    <xf numFmtId="3" fontId="2" fillId="0" borderId="2" xfId="1" applyNumberFormat="1" applyFont="1" applyFill="1" applyBorder="1" applyAlignment="1" applyProtection="1">
      <alignment horizontal="right"/>
    </xf>
    <xf numFmtId="0" fontId="2" fillId="0" borderId="0" xfId="1" applyFont="1" applyFill="1" applyBorder="1" applyAlignment="1" applyProtection="1">
      <alignment vertical="top" wrapText="1"/>
    </xf>
    <xf numFmtId="3" fontId="2" fillId="0" borderId="0" xfId="1" applyNumberFormat="1" applyFont="1" applyFill="1" applyBorder="1" applyProtection="1"/>
    <xf numFmtId="0" fontId="1" fillId="0" borderId="0" xfId="0" applyFont="1" applyFill="1" applyAlignment="1" applyProtection="1">
      <alignment horizontal="center"/>
    </xf>
    <xf numFmtId="0" fontId="2" fillId="3" borderId="1" xfId="1" applyFont="1" applyFill="1" applyBorder="1" applyAlignment="1" applyProtection="1">
      <alignment horizontal="center" vertical="center" wrapText="1"/>
    </xf>
    <xf numFmtId="0" fontId="2" fillId="3" borderId="1" xfId="1" applyFont="1" applyFill="1" applyBorder="1" applyAlignment="1" applyProtection="1">
      <alignment horizontal="center" vertical="center"/>
    </xf>
    <xf numFmtId="0" fontId="1" fillId="0" borderId="0" xfId="1" applyFont="1" applyFill="1" applyProtection="1"/>
    <xf numFmtId="0" fontId="5" fillId="0" borderId="1" xfId="0" applyFont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left" vertical="center" wrapText="1"/>
    </xf>
    <xf numFmtId="0" fontId="1" fillId="0" borderId="0" xfId="2" applyFont="1" applyFill="1" applyProtection="1"/>
    <xf numFmtId="3" fontId="1" fillId="0" borderId="0" xfId="2" applyNumberFormat="1" applyFont="1" applyFill="1" applyProtection="1"/>
    <xf numFmtId="3" fontId="1" fillId="0" borderId="1" xfId="1" applyNumberFormat="1" applyFont="1" applyFill="1" applyBorder="1" applyAlignment="1" applyProtection="1">
      <alignment horizontal="right"/>
    </xf>
    <xf numFmtId="3" fontId="2" fillId="0" borderId="2" xfId="0" applyNumberFormat="1" applyFont="1" applyFill="1" applyBorder="1" applyAlignment="1" applyProtection="1">
      <alignment horizontal="right"/>
    </xf>
    <xf numFmtId="3" fontId="2" fillId="0" borderId="1" xfId="1" applyNumberFormat="1" applyFont="1" applyFill="1" applyBorder="1" applyAlignment="1" applyProtection="1">
      <alignment horizontal="right"/>
    </xf>
    <xf numFmtId="3" fontId="1" fillId="2" borderId="2" xfId="1" applyNumberFormat="1" applyFont="1" applyFill="1" applyBorder="1" applyAlignment="1" applyProtection="1">
      <alignment horizontal="right"/>
      <protection locked="0"/>
    </xf>
    <xf numFmtId="3" fontId="1" fillId="2" borderId="3" xfId="0" applyNumberFormat="1" applyFont="1" applyFill="1" applyBorder="1" applyAlignment="1" applyProtection="1">
      <alignment horizontal="right"/>
      <protection locked="0"/>
    </xf>
    <xf numFmtId="3" fontId="1" fillId="2" borderId="1" xfId="1" applyNumberFormat="1" applyFont="1" applyFill="1" applyBorder="1" applyAlignment="1" applyProtection="1">
      <alignment horizontal="right"/>
      <protection locked="0"/>
    </xf>
    <xf numFmtId="0" fontId="1" fillId="0" borderId="0" xfId="3" applyFont="1" applyProtection="1"/>
    <xf numFmtId="0" fontId="8" fillId="0" borderId="0" xfId="0" applyFont="1" applyFill="1" applyAlignment="1" applyProtection="1">
      <alignment horizontal="left"/>
    </xf>
    <xf numFmtId="0" fontId="1" fillId="0" borderId="0" xfId="3" applyFont="1" applyFill="1" applyAlignment="1" applyProtection="1">
      <alignment horizontal="center"/>
    </xf>
    <xf numFmtId="0" fontId="1" fillId="0" borderId="0" xfId="3" applyFont="1" applyFill="1" applyAlignment="1" applyProtection="1">
      <alignment horizontal="left" vertical="top"/>
    </xf>
    <xf numFmtId="0" fontId="1" fillId="0" borderId="0" xfId="3" applyFont="1" applyFill="1" applyAlignment="1" applyProtection="1">
      <alignment horizontal="left"/>
    </xf>
    <xf numFmtId="0" fontId="1" fillId="0" borderId="0" xfId="3" applyFont="1" applyFill="1" applyProtection="1"/>
    <xf numFmtId="0" fontId="6" fillId="0" borderId="0" xfId="0" applyFont="1" applyBorder="1" applyAlignment="1" applyProtection="1">
      <alignment horizontal="center" vertical="center" wrapText="1"/>
    </xf>
    <xf numFmtId="0" fontId="1" fillId="0" borderId="0" xfId="1" applyFont="1" applyFill="1" applyBorder="1" applyProtection="1"/>
    <xf numFmtId="0" fontId="1" fillId="0" borderId="0" xfId="0" applyFont="1" applyFill="1" applyAlignment="1" applyProtection="1">
      <alignment horizontal="center"/>
    </xf>
    <xf numFmtId="0" fontId="1" fillId="0" borderId="0" xfId="0" applyNumberFormat="1" applyFont="1" applyFill="1" applyAlignment="1" applyProtection="1">
      <alignment wrapText="1"/>
    </xf>
    <xf numFmtId="0" fontId="1" fillId="2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0" xfId="3" applyFont="1" applyFill="1" applyAlignment="1" applyProtection="1">
      <alignment wrapText="1"/>
    </xf>
    <xf numFmtId="0" fontId="1" fillId="0" borderId="0" xfId="3" applyFont="1" applyFill="1" applyAlignment="1" applyProtection="1">
      <alignment horizontal="left" wrapText="1"/>
    </xf>
    <xf numFmtId="14" fontId="1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right" vertical="top" wrapText="1"/>
    </xf>
    <xf numFmtId="0" fontId="0" fillId="0" borderId="0" xfId="0" applyAlignment="1" applyProtection="1">
      <alignment horizontal="right" vertical="top" wrapText="1"/>
    </xf>
    <xf numFmtId="0" fontId="2" fillId="0" borderId="0" xfId="0" applyFont="1" applyFill="1" applyAlignment="1" applyProtection="1">
      <alignment horizontal="center" vertical="top" wrapText="1"/>
    </xf>
    <xf numFmtId="0" fontId="2" fillId="0" borderId="0" xfId="0" applyFont="1" applyFill="1" applyAlignment="1" applyProtection="1">
      <alignment horizontal="center" vertical="top"/>
    </xf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</cellXfs>
  <cellStyles count="4">
    <cellStyle name="Обычный" xfId="0" builtinId="0"/>
    <cellStyle name="Обычный 2" xfId="3"/>
    <cellStyle name="Обычный_Брокеры ежекв (вход)" xfId="2"/>
    <cellStyle name="Обычный_ф. Баланс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83"/>
  <sheetViews>
    <sheetView tabSelected="1" workbookViewId="0">
      <pane ySplit="16" topLeftCell="A17" activePane="bottomLeft" state="frozen"/>
      <selection pane="bottomLeft" activeCell="F8" sqref="F8:L8"/>
    </sheetView>
  </sheetViews>
  <sheetFormatPr defaultColWidth="0" defaultRowHeight="12.75"/>
  <cols>
    <col min="1" max="5" width="9.5703125" style="4" hidden="1" customWidth="1"/>
    <col min="6" max="6" width="8" style="13" customWidth="1"/>
    <col min="7" max="7" width="84.5703125" style="5" customWidth="1"/>
    <col min="8" max="8" width="20.7109375" style="4" customWidth="1"/>
    <col min="9" max="9" width="6.28515625" style="4" customWidth="1"/>
    <col min="10" max="10" width="8.85546875" style="13" customWidth="1"/>
    <col min="11" max="11" width="83.28515625" style="5" customWidth="1"/>
    <col min="12" max="12" width="20.7109375" style="4" customWidth="1"/>
    <col min="13" max="13" width="14.42578125" style="4" hidden="1" customWidth="1"/>
    <col min="14" max="14" width="11.28515625" style="4" hidden="1" customWidth="1"/>
    <col min="15" max="15" width="0" style="4" hidden="1" customWidth="1"/>
    <col min="16" max="16384" width="9.140625" style="4" hidden="1"/>
  </cols>
  <sheetData>
    <row r="1" spans="1:12" ht="69.75" hidden="1" customHeight="1">
      <c r="A1" s="38" t="s">
        <v>103</v>
      </c>
      <c r="F1" s="37"/>
      <c r="J1" s="37"/>
    </row>
    <row r="2" spans="1:12" hidden="1">
      <c r="A2" s="4" t="s">
        <v>97</v>
      </c>
      <c r="F2" s="37"/>
      <c r="J2" s="37"/>
    </row>
    <row r="3" spans="1:12" ht="31.5" customHeight="1">
      <c r="K3" s="46" t="s">
        <v>92</v>
      </c>
      <c r="L3" s="47"/>
    </row>
    <row r="4" spans="1:12">
      <c r="K4" s="47"/>
      <c r="L4" s="47"/>
    </row>
    <row r="5" spans="1:12">
      <c r="K5" s="47"/>
      <c r="L5" s="47"/>
    </row>
    <row r="6" spans="1:12">
      <c r="K6" s="47"/>
      <c r="L6" s="47"/>
    </row>
    <row r="8" spans="1:12">
      <c r="F8" s="48" t="s">
        <v>93</v>
      </c>
      <c r="G8" s="49"/>
      <c r="H8" s="49"/>
      <c r="I8" s="49"/>
      <c r="J8" s="49"/>
      <c r="K8" s="49"/>
      <c r="L8" s="49"/>
    </row>
    <row r="9" spans="1:12" hidden="1">
      <c r="F9" s="45" t="s">
        <v>0</v>
      </c>
      <c r="G9" s="45"/>
      <c r="H9" s="45"/>
      <c r="I9" s="45"/>
      <c r="J9" s="45"/>
      <c r="K9" s="45"/>
      <c r="L9" s="45"/>
    </row>
    <row r="10" spans="1:12" hidden="1">
      <c r="F10" s="50" t="s">
        <v>1</v>
      </c>
      <c r="G10" s="50"/>
      <c r="H10" s="50"/>
      <c r="I10" s="50"/>
      <c r="J10" s="50"/>
      <c r="K10" s="50"/>
      <c r="L10" s="50"/>
    </row>
    <row r="11" spans="1:12" hidden="1">
      <c r="F11" s="1"/>
      <c r="G11" s="2"/>
      <c r="H11" s="1"/>
      <c r="I11" s="1"/>
      <c r="J11" s="4"/>
    </row>
    <row r="12" spans="1:12" hidden="1">
      <c r="F12" s="45" t="s">
        <v>2</v>
      </c>
      <c r="G12" s="51"/>
      <c r="H12" s="51"/>
      <c r="I12" s="51"/>
      <c r="J12" s="51"/>
      <c r="K12" s="51"/>
      <c r="L12" s="51"/>
    </row>
    <row r="13" spans="1:12" hidden="1">
      <c r="F13" s="4"/>
      <c r="H13" s="1"/>
      <c r="I13" s="1"/>
      <c r="J13" s="4"/>
    </row>
    <row r="14" spans="1:12">
      <c r="F14" s="4"/>
      <c r="H14" s="1"/>
      <c r="I14" s="1"/>
      <c r="J14" s="4"/>
    </row>
    <row r="15" spans="1:12">
      <c r="F15" s="1"/>
      <c r="G15" s="2"/>
      <c r="H15" s="3" t="s">
        <v>3</v>
      </c>
      <c r="I15" s="1"/>
      <c r="J15" s="4"/>
      <c r="L15" s="3" t="s">
        <v>3</v>
      </c>
    </row>
    <row r="16" spans="1:12" s="16" customFormat="1" ht="28.5" customHeight="1">
      <c r="F16" s="14" t="s">
        <v>4</v>
      </c>
      <c r="G16" s="15" t="s">
        <v>5</v>
      </c>
      <c r="H16" s="15" t="s">
        <v>6</v>
      </c>
      <c r="J16" s="14" t="s">
        <v>4</v>
      </c>
      <c r="K16" s="15" t="s">
        <v>5</v>
      </c>
      <c r="L16" s="15" t="s">
        <v>6</v>
      </c>
    </row>
    <row r="17" spans="2:12" s="16" customFormat="1">
      <c r="B17" s="16" t="s">
        <v>86</v>
      </c>
      <c r="D17" s="16" t="s">
        <v>86</v>
      </c>
      <c r="F17" s="7"/>
      <c r="G17" s="8" t="s">
        <v>7</v>
      </c>
      <c r="H17" s="23"/>
      <c r="J17" s="7"/>
      <c r="K17" s="9" t="s">
        <v>8</v>
      </c>
      <c r="L17" s="23"/>
    </row>
    <row r="18" spans="2:12" s="16" customFormat="1">
      <c r="F18" s="17">
        <v>6000</v>
      </c>
      <c r="G18" s="18" t="s">
        <v>58</v>
      </c>
      <c r="H18" s="10">
        <f>SUM(H19:H24)</f>
        <v>0</v>
      </c>
      <c r="J18" s="17">
        <v>6500</v>
      </c>
      <c r="K18" s="18" t="s">
        <v>58</v>
      </c>
      <c r="L18" s="10">
        <f>SUM(L19:L24)</f>
        <v>0</v>
      </c>
    </row>
    <row r="19" spans="2:12" s="16" customFormat="1">
      <c r="B19" s="16" t="s">
        <v>87</v>
      </c>
      <c r="C19" s="35">
        <v>6005</v>
      </c>
      <c r="D19" s="16" t="s">
        <v>87</v>
      </c>
      <c r="E19" s="35">
        <v>6505</v>
      </c>
      <c r="F19" s="19">
        <v>6005</v>
      </c>
      <c r="G19" s="20" t="s">
        <v>59</v>
      </c>
      <c r="H19" s="26"/>
      <c r="J19" s="19">
        <v>6505</v>
      </c>
      <c r="K19" s="20" t="s">
        <v>60</v>
      </c>
      <c r="L19" s="26"/>
    </row>
    <row r="20" spans="2:12" s="16" customFormat="1">
      <c r="B20" s="16" t="s">
        <v>87</v>
      </c>
      <c r="C20" s="35">
        <v>6010</v>
      </c>
      <c r="D20" s="16" t="s">
        <v>87</v>
      </c>
      <c r="E20" s="35">
        <v>6510</v>
      </c>
      <c r="F20" s="19">
        <v>6010</v>
      </c>
      <c r="G20" s="20" t="s">
        <v>61</v>
      </c>
      <c r="H20" s="26"/>
      <c r="J20" s="19">
        <v>6510</v>
      </c>
      <c r="K20" s="20" t="s">
        <v>62</v>
      </c>
      <c r="L20" s="26"/>
    </row>
    <row r="21" spans="2:12" s="16" customFormat="1">
      <c r="B21" s="16" t="s">
        <v>87</v>
      </c>
      <c r="C21" s="35">
        <v>6020</v>
      </c>
      <c r="D21" s="16" t="s">
        <v>87</v>
      </c>
      <c r="E21" s="35">
        <v>6520</v>
      </c>
      <c r="F21" s="19">
        <v>6020</v>
      </c>
      <c r="G21" s="20" t="s">
        <v>63</v>
      </c>
      <c r="H21" s="26"/>
      <c r="J21" s="19">
        <v>6520</v>
      </c>
      <c r="K21" s="20" t="s">
        <v>64</v>
      </c>
      <c r="L21" s="26"/>
    </row>
    <row r="22" spans="2:12" s="16" customFormat="1">
      <c r="B22" s="16" t="s">
        <v>87</v>
      </c>
      <c r="C22" s="35">
        <v>6025</v>
      </c>
      <c r="D22" s="16" t="s">
        <v>87</v>
      </c>
      <c r="E22" s="35">
        <v>6525</v>
      </c>
      <c r="F22" s="19">
        <v>6025</v>
      </c>
      <c r="G22" s="20" t="s">
        <v>65</v>
      </c>
      <c r="H22" s="26"/>
      <c r="J22" s="19">
        <v>6525</v>
      </c>
      <c r="K22" s="20" t="s">
        <v>66</v>
      </c>
      <c r="L22" s="26"/>
    </row>
    <row r="23" spans="2:12" s="16" customFormat="1">
      <c r="B23" s="16" t="s">
        <v>87</v>
      </c>
      <c r="C23" s="35">
        <v>6030</v>
      </c>
      <c r="D23" s="16" t="s">
        <v>87</v>
      </c>
      <c r="E23" s="35">
        <v>6530</v>
      </c>
      <c r="F23" s="19">
        <v>6030</v>
      </c>
      <c r="G23" s="20" t="s">
        <v>67</v>
      </c>
      <c r="H23" s="26"/>
      <c r="J23" s="19">
        <v>6530</v>
      </c>
      <c r="K23" s="20" t="s">
        <v>68</v>
      </c>
      <c r="L23" s="26"/>
    </row>
    <row r="24" spans="2:12" s="16" customFormat="1">
      <c r="B24" s="16" t="s">
        <v>87</v>
      </c>
      <c r="C24" s="35">
        <v>6040</v>
      </c>
      <c r="D24" s="16" t="s">
        <v>87</v>
      </c>
      <c r="E24" s="35">
        <v>6540</v>
      </c>
      <c r="F24" s="19">
        <v>6040</v>
      </c>
      <c r="G24" s="20" t="s">
        <v>69</v>
      </c>
      <c r="H24" s="26"/>
      <c r="J24" s="19">
        <v>6540</v>
      </c>
      <c r="K24" s="20" t="s">
        <v>70</v>
      </c>
      <c r="L24" s="26"/>
    </row>
    <row r="25" spans="2:12" s="16" customFormat="1">
      <c r="C25" s="36"/>
      <c r="E25" s="36"/>
      <c r="F25" s="17">
        <v>6050</v>
      </c>
      <c r="G25" s="18" t="s">
        <v>9</v>
      </c>
      <c r="H25" s="10">
        <f>SUM(H26:H27)</f>
        <v>0</v>
      </c>
      <c r="J25" s="17">
        <v>6550</v>
      </c>
      <c r="K25" s="18" t="s">
        <v>71</v>
      </c>
      <c r="L25" s="10">
        <f>SUM(L26:L27)</f>
        <v>0</v>
      </c>
    </row>
    <row r="26" spans="2:12" s="16" customFormat="1">
      <c r="B26" s="16" t="s">
        <v>87</v>
      </c>
      <c r="C26" s="35">
        <v>6055</v>
      </c>
      <c r="D26" s="16" t="s">
        <v>87</v>
      </c>
      <c r="E26" s="35">
        <v>6555</v>
      </c>
      <c r="F26" s="19">
        <v>6055</v>
      </c>
      <c r="G26" s="20" t="s">
        <v>72</v>
      </c>
      <c r="H26" s="26"/>
      <c r="J26" s="19">
        <v>6555</v>
      </c>
      <c r="K26" s="20" t="s">
        <v>73</v>
      </c>
      <c r="L26" s="26"/>
    </row>
    <row r="27" spans="2:12" s="16" customFormat="1">
      <c r="B27" s="16" t="s">
        <v>87</v>
      </c>
      <c r="C27" s="35">
        <v>6075</v>
      </c>
      <c r="D27" s="16" t="s">
        <v>87</v>
      </c>
      <c r="E27" s="35">
        <v>6575</v>
      </c>
      <c r="F27" s="19">
        <v>6075</v>
      </c>
      <c r="G27" s="20" t="s">
        <v>10</v>
      </c>
      <c r="H27" s="27"/>
      <c r="J27" s="19">
        <v>6575</v>
      </c>
      <c r="K27" s="20" t="s">
        <v>11</v>
      </c>
      <c r="L27" s="27"/>
    </row>
    <row r="28" spans="2:12" s="16" customFormat="1">
      <c r="C28" s="36"/>
      <c r="E28" s="36"/>
      <c r="F28" s="17">
        <v>6080</v>
      </c>
      <c r="G28" s="18" t="s">
        <v>12</v>
      </c>
      <c r="H28" s="24">
        <f>H29</f>
        <v>0</v>
      </c>
      <c r="J28" s="17">
        <v>6580</v>
      </c>
      <c r="K28" s="18" t="s">
        <v>13</v>
      </c>
      <c r="L28" s="10">
        <f>L29</f>
        <v>0</v>
      </c>
    </row>
    <row r="29" spans="2:12" s="16" customFormat="1">
      <c r="B29" s="16" t="s">
        <v>87</v>
      </c>
      <c r="C29" s="35">
        <v>6080</v>
      </c>
      <c r="D29" s="16" t="s">
        <v>87</v>
      </c>
      <c r="E29" s="35">
        <v>6580</v>
      </c>
      <c r="F29" s="19">
        <v>6080</v>
      </c>
      <c r="G29" s="20" t="s">
        <v>12</v>
      </c>
      <c r="H29" s="26"/>
      <c r="J29" s="19">
        <v>6580</v>
      </c>
      <c r="K29" s="20" t="s">
        <v>13</v>
      </c>
      <c r="L29" s="26"/>
    </row>
    <row r="30" spans="2:12" s="16" customFormat="1">
      <c r="C30" s="36"/>
      <c r="E30" s="36"/>
      <c r="F30" s="17">
        <v>6100</v>
      </c>
      <c r="G30" s="18" t="s">
        <v>14</v>
      </c>
      <c r="H30" s="10">
        <f>SUM(H31:H33)</f>
        <v>0</v>
      </c>
      <c r="J30" s="17">
        <v>6600</v>
      </c>
      <c r="K30" s="18" t="s">
        <v>14</v>
      </c>
      <c r="L30" s="10">
        <f>SUM(L31:L33)</f>
        <v>0</v>
      </c>
    </row>
    <row r="31" spans="2:12" s="16" customFormat="1">
      <c r="B31" s="16" t="s">
        <v>87</v>
      </c>
      <c r="C31" s="35">
        <v>6105</v>
      </c>
      <c r="D31" s="16" t="s">
        <v>87</v>
      </c>
      <c r="E31" s="35">
        <v>6605</v>
      </c>
      <c r="F31" s="19">
        <v>6105</v>
      </c>
      <c r="G31" s="20" t="s">
        <v>15</v>
      </c>
      <c r="H31" s="26"/>
      <c r="J31" s="19">
        <v>6605</v>
      </c>
      <c r="K31" s="20" t="s">
        <v>16</v>
      </c>
      <c r="L31" s="26"/>
    </row>
    <row r="32" spans="2:12" s="16" customFormat="1">
      <c r="B32" s="16" t="s">
        <v>87</v>
      </c>
      <c r="C32" s="35">
        <v>6125</v>
      </c>
      <c r="D32" s="16" t="s">
        <v>87</v>
      </c>
      <c r="E32" s="35">
        <v>6625</v>
      </c>
      <c r="F32" s="19">
        <v>6125</v>
      </c>
      <c r="G32" s="20" t="s">
        <v>17</v>
      </c>
      <c r="H32" s="26"/>
      <c r="J32" s="19">
        <v>6625</v>
      </c>
      <c r="K32" s="20" t="s">
        <v>18</v>
      </c>
      <c r="L32" s="26"/>
    </row>
    <row r="33" spans="2:12" s="16" customFormat="1">
      <c r="B33" s="16" t="s">
        <v>87</v>
      </c>
      <c r="C33" s="35">
        <v>6126</v>
      </c>
      <c r="D33" s="16" t="s">
        <v>87</v>
      </c>
      <c r="E33" s="35">
        <v>6626</v>
      </c>
      <c r="F33" s="19">
        <v>6126</v>
      </c>
      <c r="G33" s="20" t="s">
        <v>19</v>
      </c>
      <c r="H33" s="26"/>
      <c r="J33" s="19">
        <v>6626</v>
      </c>
      <c r="K33" s="20" t="s">
        <v>20</v>
      </c>
      <c r="L33" s="26"/>
    </row>
    <row r="34" spans="2:12" s="16" customFormat="1">
      <c r="C34" s="36"/>
      <c r="E34" s="36"/>
      <c r="F34" s="17">
        <v>6130</v>
      </c>
      <c r="G34" s="18" t="s">
        <v>74</v>
      </c>
      <c r="H34" s="10">
        <f>H35</f>
        <v>0</v>
      </c>
      <c r="J34" s="17">
        <v>6630</v>
      </c>
      <c r="K34" s="18" t="s">
        <v>74</v>
      </c>
      <c r="L34" s="10">
        <f>L35</f>
        <v>0</v>
      </c>
    </row>
    <row r="35" spans="2:12" s="16" customFormat="1">
      <c r="B35" s="16" t="s">
        <v>87</v>
      </c>
      <c r="C35" s="35">
        <v>6130</v>
      </c>
      <c r="D35" s="16" t="s">
        <v>87</v>
      </c>
      <c r="E35" s="35">
        <v>6630</v>
      </c>
      <c r="F35" s="19">
        <v>6130</v>
      </c>
      <c r="G35" s="20" t="s">
        <v>75</v>
      </c>
      <c r="H35" s="26"/>
      <c r="J35" s="19">
        <v>6630</v>
      </c>
      <c r="K35" s="20" t="s">
        <v>76</v>
      </c>
      <c r="L35" s="26"/>
    </row>
    <row r="36" spans="2:12" s="16" customFormat="1">
      <c r="C36" s="36"/>
      <c r="E36" s="36"/>
      <c r="F36" s="17">
        <v>6150</v>
      </c>
      <c r="G36" s="18" t="s">
        <v>21</v>
      </c>
      <c r="H36" s="10">
        <f>SUM(H37:H39)</f>
        <v>0</v>
      </c>
      <c r="J36" s="17">
        <v>6650</v>
      </c>
      <c r="K36" s="18" t="s">
        <v>21</v>
      </c>
      <c r="L36" s="10">
        <f>SUM(L37:L39)</f>
        <v>0</v>
      </c>
    </row>
    <row r="37" spans="2:12" s="16" customFormat="1">
      <c r="B37" s="16" t="s">
        <v>87</v>
      </c>
      <c r="C37" s="35">
        <v>6155</v>
      </c>
      <c r="D37" s="16" t="s">
        <v>87</v>
      </c>
      <c r="E37" s="35">
        <v>6655</v>
      </c>
      <c r="F37" s="19">
        <v>6155</v>
      </c>
      <c r="G37" s="20" t="s">
        <v>22</v>
      </c>
      <c r="H37" s="26"/>
      <c r="J37" s="19">
        <v>6655</v>
      </c>
      <c r="K37" s="20" t="s">
        <v>23</v>
      </c>
      <c r="L37" s="26"/>
    </row>
    <row r="38" spans="2:12" s="16" customFormat="1">
      <c r="B38" s="16" t="s">
        <v>87</v>
      </c>
      <c r="C38" s="35">
        <v>6175</v>
      </c>
      <c r="D38" s="16" t="s">
        <v>87</v>
      </c>
      <c r="E38" s="35">
        <v>6675</v>
      </c>
      <c r="F38" s="19">
        <v>6175</v>
      </c>
      <c r="G38" s="20" t="s">
        <v>24</v>
      </c>
      <c r="H38" s="26"/>
      <c r="J38" s="19">
        <v>6675</v>
      </c>
      <c r="K38" s="20" t="s">
        <v>25</v>
      </c>
      <c r="L38" s="26"/>
    </row>
    <row r="39" spans="2:12" s="16" customFormat="1">
      <c r="B39" s="16" t="s">
        <v>87</v>
      </c>
      <c r="C39" s="35">
        <v>6177</v>
      </c>
      <c r="D39" s="16" t="s">
        <v>87</v>
      </c>
      <c r="E39" s="35">
        <v>6677</v>
      </c>
      <c r="F39" s="19">
        <v>6177</v>
      </c>
      <c r="G39" s="20" t="s">
        <v>26</v>
      </c>
      <c r="H39" s="27"/>
      <c r="J39" s="19">
        <v>6677</v>
      </c>
      <c r="K39" s="20" t="s">
        <v>27</v>
      </c>
      <c r="L39" s="27"/>
    </row>
    <row r="40" spans="2:12" s="16" customFormat="1">
      <c r="C40" s="36"/>
      <c r="E40" s="36"/>
      <c r="F40" s="17">
        <v>6180</v>
      </c>
      <c r="G40" s="18" t="s">
        <v>28</v>
      </c>
      <c r="H40" s="10">
        <f>H41</f>
        <v>0</v>
      </c>
      <c r="J40" s="17">
        <v>6680</v>
      </c>
      <c r="K40" s="18" t="s">
        <v>29</v>
      </c>
      <c r="L40" s="10">
        <f>L41</f>
        <v>0</v>
      </c>
    </row>
    <row r="41" spans="2:12" s="16" customFormat="1">
      <c r="B41" s="16" t="s">
        <v>87</v>
      </c>
      <c r="C41" s="35">
        <v>6180</v>
      </c>
      <c r="D41" s="16" t="s">
        <v>87</v>
      </c>
      <c r="E41" s="35">
        <v>6680</v>
      </c>
      <c r="F41" s="19">
        <v>6180</v>
      </c>
      <c r="G41" s="20" t="s">
        <v>28</v>
      </c>
      <c r="H41" s="26"/>
      <c r="J41" s="19">
        <v>6680</v>
      </c>
      <c r="K41" s="20" t="s">
        <v>29</v>
      </c>
      <c r="L41" s="26"/>
    </row>
    <row r="42" spans="2:12" s="16" customFormat="1">
      <c r="C42" s="36"/>
      <c r="E42" s="36"/>
      <c r="F42" s="17">
        <v>6200</v>
      </c>
      <c r="G42" s="18" t="s">
        <v>30</v>
      </c>
      <c r="H42" s="10">
        <f>SUM(H43:H47)</f>
        <v>0</v>
      </c>
      <c r="J42" s="17">
        <v>6700</v>
      </c>
      <c r="K42" s="18" t="s">
        <v>30</v>
      </c>
      <c r="L42" s="10">
        <f>SUM(L43:L47)</f>
        <v>0</v>
      </c>
    </row>
    <row r="43" spans="2:12" s="16" customFormat="1">
      <c r="B43" s="16" t="s">
        <v>87</v>
      </c>
      <c r="C43" s="35">
        <v>6205</v>
      </c>
      <c r="D43" s="16" t="s">
        <v>87</v>
      </c>
      <c r="E43" s="35">
        <v>6705</v>
      </c>
      <c r="F43" s="19">
        <v>6205</v>
      </c>
      <c r="G43" s="20" t="s">
        <v>31</v>
      </c>
      <c r="H43" s="26"/>
      <c r="J43" s="19">
        <v>6705</v>
      </c>
      <c r="K43" s="20" t="s">
        <v>32</v>
      </c>
      <c r="L43" s="26"/>
    </row>
    <row r="44" spans="2:12" s="16" customFormat="1">
      <c r="B44" s="16" t="s">
        <v>87</v>
      </c>
      <c r="C44" s="35">
        <v>6210</v>
      </c>
      <c r="D44" s="16" t="s">
        <v>87</v>
      </c>
      <c r="E44" s="35">
        <v>6710</v>
      </c>
      <c r="F44" s="19">
        <v>6210</v>
      </c>
      <c r="G44" s="20" t="s">
        <v>33</v>
      </c>
      <c r="H44" s="26"/>
      <c r="J44" s="19">
        <v>6710</v>
      </c>
      <c r="K44" s="20" t="s">
        <v>34</v>
      </c>
      <c r="L44" s="26"/>
    </row>
    <row r="45" spans="2:12" s="16" customFormat="1">
      <c r="B45" s="16" t="s">
        <v>87</v>
      </c>
      <c r="C45" s="35">
        <v>6225</v>
      </c>
      <c r="D45" s="16" t="s">
        <v>87</v>
      </c>
      <c r="E45" s="35">
        <v>6725</v>
      </c>
      <c r="F45" s="19">
        <v>6225</v>
      </c>
      <c r="G45" s="20" t="s">
        <v>77</v>
      </c>
      <c r="H45" s="26"/>
      <c r="J45" s="19">
        <v>6725</v>
      </c>
      <c r="K45" s="20" t="s">
        <v>78</v>
      </c>
      <c r="L45" s="26"/>
    </row>
    <row r="46" spans="2:12" s="16" customFormat="1">
      <c r="B46" s="16" t="s">
        <v>87</v>
      </c>
      <c r="C46" s="35">
        <v>6230</v>
      </c>
      <c r="D46" s="16" t="s">
        <v>87</v>
      </c>
      <c r="E46" s="35">
        <v>6730</v>
      </c>
      <c r="F46" s="19">
        <v>6230</v>
      </c>
      <c r="G46" s="20" t="s">
        <v>79</v>
      </c>
      <c r="H46" s="26"/>
      <c r="J46" s="19">
        <v>6730</v>
      </c>
      <c r="K46" s="20" t="s">
        <v>35</v>
      </c>
      <c r="L46" s="26"/>
    </row>
    <row r="47" spans="2:12" s="16" customFormat="1">
      <c r="B47" s="16" t="s">
        <v>87</v>
      </c>
      <c r="C47" s="35">
        <v>6240</v>
      </c>
      <c r="D47" s="16" t="s">
        <v>87</v>
      </c>
      <c r="E47" s="35">
        <v>6740</v>
      </c>
      <c r="F47" s="19">
        <v>6240</v>
      </c>
      <c r="G47" s="20" t="s">
        <v>36</v>
      </c>
      <c r="H47" s="28"/>
      <c r="J47" s="19">
        <v>6740</v>
      </c>
      <c r="K47" s="20" t="s">
        <v>36</v>
      </c>
      <c r="L47" s="26"/>
    </row>
    <row r="48" spans="2:12" s="16" customFormat="1">
      <c r="C48" s="36"/>
      <c r="E48" s="36"/>
      <c r="F48" s="17">
        <v>6300</v>
      </c>
      <c r="G48" s="18" t="s">
        <v>37</v>
      </c>
      <c r="H48" s="25">
        <f>SUM(H49:H52)</f>
        <v>0</v>
      </c>
      <c r="J48" s="17">
        <v>6800</v>
      </c>
      <c r="K48" s="18" t="s">
        <v>37</v>
      </c>
      <c r="L48" s="10">
        <f>SUM(L49:L52)</f>
        <v>0</v>
      </c>
    </row>
    <row r="49" spans="2:12" s="16" customFormat="1">
      <c r="B49" s="16" t="s">
        <v>87</v>
      </c>
      <c r="C49" s="35">
        <v>6305</v>
      </c>
      <c r="D49" s="16" t="s">
        <v>87</v>
      </c>
      <c r="E49" s="35">
        <v>6805</v>
      </c>
      <c r="F49" s="19">
        <v>6305</v>
      </c>
      <c r="G49" s="20" t="s">
        <v>38</v>
      </c>
      <c r="H49" s="28"/>
      <c r="J49" s="19">
        <v>6805</v>
      </c>
      <c r="K49" s="20" t="s">
        <v>39</v>
      </c>
      <c r="L49" s="28"/>
    </row>
    <row r="50" spans="2:12" s="16" customFormat="1">
      <c r="B50" s="16" t="s">
        <v>87</v>
      </c>
      <c r="C50" s="35">
        <v>6325</v>
      </c>
      <c r="D50" s="16" t="s">
        <v>87</v>
      </c>
      <c r="E50" s="35">
        <v>6825</v>
      </c>
      <c r="F50" s="19">
        <v>6325</v>
      </c>
      <c r="G50" s="20" t="s">
        <v>80</v>
      </c>
      <c r="H50" s="28"/>
      <c r="J50" s="19">
        <v>6825</v>
      </c>
      <c r="K50" s="20" t="s">
        <v>81</v>
      </c>
      <c r="L50" s="28"/>
    </row>
    <row r="51" spans="2:12" s="16" customFormat="1">
      <c r="B51" s="16" t="s">
        <v>87</v>
      </c>
      <c r="C51" s="35">
        <v>6330</v>
      </c>
      <c r="D51" s="16" t="s">
        <v>87</v>
      </c>
      <c r="E51" s="35">
        <v>6830</v>
      </c>
      <c r="F51" s="19">
        <v>6330</v>
      </c>
      <c r="G51" s="20" t="s">
        <v>40</v>
      </c>
      <c r="H51" s="28"/>
      <c r="J51" s="19">
        <v>6830</v>
      </c>
      <c r="K51" s="20" t="s">
        <v>41</v>
      </c>
      <c r="L51" s="28"/>
    </row>
    <row r="52" spans="2:12" s="16" customFormat="1">
      <c r="B52" s="16" t="s">
        <v>87</v>
      </c>
      <c r="C52" s="35">
        <v>6350</v>
      </c>
      <c r="D52" s="16" t="s">
        <v>87</v>
      </c>
      <c r="E52" s="35">
        <v>6850</v>
      </c>
      <c r="F52" s="19">
        <v>6350</v>
      </c>
      <c r="G52" s="20" t="s">
        <v>42</v>
      </c>
      <c r="H52" s="28"/>
      <c r="J52" s="19">
        <v>6850</v>
      </c>
      <c r="K52" s="20" t="s">
        <v>43</v>
      </c>
      <c r="L52" s="28"/>
    </row>
    <row r="53" spans="2:12" s="16" customFormat="1">
      <c r="C53" s="36"/>
      <c r="E53" s="36"/>
      <c r="F53" s="17">
        <v>6400</v>
      </c>
      <c r="G53" s="18" t="s">
        <v>44</v>
      </c>
      <c r="H53" s="25">
        <f>SUM(H54:H57)</f>
        <v>0</v>
      </c>
      <c r="J53" s="17">
        <v>6900</v>
      </c>
      <c r="K53" s="18" t="s">
        <v>44</v>
      </c>
      <c r="L53" s="25">
        <f>SUM(L54:L59)</f>
        <v>0</v>
      </c>
    </row>
    <row r="54" spans="2:12" s="16" customFormat="1">
      <c r="B54" s="16" t="s">
        <v>87</v>
      </c>
      <c r="C54" s="35">
        <v>6405</v>
      </c>
      <c r="D54" s="16" t="s">
        <v>87</v>
      </c>
      <c r="E54" s="35">
        <v>6905</v>
      </c>
      <c r="F54" s="19">
        <v>6405</v>
      </c>
      <c r="G54" s="20" t="s">
        <v>45</v>
      </c>
      <c r="H54" s="28"/>
      <c r="J54" s="19">
        <v>6905</v>
      </c>
      <c r="K54" s="20" t="s">
        <v>46</v>
      </c>
      <c r="L54" s="28"/>
    </row>
    <row r="55" spans="2:12" s="16" customFormat="1">
      <c r="B55" s="16" t="s">
        <v>87</v>
      </c>
      <c r="C55" s="35">
        <v>6415</v>
      </c>
      <c r="D55" s="16" t="s">
        <v>87</v>
      </c>
      <c r="E55" s="35">
        <v>6915</v>
      </c>
      <c r="F55" s="19">
        <v>6415</v>
      </c>
      <c r="G55" s="20" t="s">
        <v>47</v>
      </c>
      <c r="H55" s="28"/>
      <c r="J55" s="19">
        <v>6915</v>
      </c>
      <c r="K55" s="20" t="s">
        <v>48</v>
      </c>
      <c r="L55" s="28"/>
    </row>
    <row r="56" spans="2:12" s="16" customFormat="1">
      <c r="B56" s="16" t="s">
        <v>87</v>
      </c>
      <c r="C56" s="35">
        <v>6998</v>
      </c>
      <c r="D56" s="16" t="s">
        <v>87</v>
      </c>
      <c r="E56" s="35">
        <v>6996</v>
      </c>
      <c r="F56" s="19">
        <v>6998</v>
      </c>
      <c r="G56" s="20" t="s">
        <v>82</v>
      </c>
      <c r="H56" s="28"/>
      <c r="J56" s="19">
        <v>6996</v>
      </c>
      <c r="K56" s="20" t="s">
        <v>50</v>
      </c>
      <c r="L56" s="28"/>
    </row>
    <row r="57" spans="2:12" s="16" customFormat="1">
      <c r="B57" s="16" t="s">
        <v>87</v>
      </c>
      <c r="C57" s="35">
        <v>6999</v>
      </c>
      <c r="D57" s="16" t="s">
        <v>87</v>
      </c>
      <c r="E57" s="35">
        <v>6997</v>
      </c>
      <c r="F57" s="19">
        <v>6999</v>
      </c>
      <c r="G57" s="20" t="s">
        <v>51</v>
      </c>
      <c r="H57" s="28"/>
      <c r="J57" s="19">
        <v>6997</v>
      </c>
      <c r="K57" s="20" t="s">
        <v>52</v>
      </c>
      <c r="L57" s="28"/>
    </row>
    <row r="58" spans="2:12" s="16" customFormat="1">
      <c r="B58" s="16" t="s">
        <v>88</v>
      </c>
      <c r="D58" s="16" t="s">
        <v>87</v>
      </c>
      <c r="E58" s="35" t="s">
        <v>84</v>
      </c>
      <c r="F58" s="20"/>
      <c r="G58" s="18" t="s">
        <v>83</v>
      </c>
      <c r="H58" s="25">
        <f>H18+H25+H28+H30+H34+H36+H40+H42+H48+H53</f>
        <v>0</v>
      </c>
      <c r="J58" s="19">
        <v>6998</v>
      </c>
      <c r="K58" s="20" t="s">
        <v>49</v>
      </c>
      <c r="L58" s="28"/>
    </row>
    <row r="59" spans="2:12" s="16" customFormat="1">
      <c r="D59" s="16" t="s">
        <v>87</v>
      </c>
      <c r="E59" s="35" t="s">
        <v>85</v>
      </c>
      <c r="J59" s="19">
        <v>6999</v>
      </c>
      <c r="K59" s="20" t="s">
        <v>51</v>
      </c>
      <c r="L59" s="28"/>
    </row>
    <row r="60" spans="2:12" s="16" customFormat="1">
      <c r="D60" s="16" t="s">
        <v>88</v>
      </c>
      <c r="J60" s="20"/>
      <c r="K60" s="18" t="s">
        <v>53</v>
      </c>
      <c r="L60" s="25">
        <f>L18+L25+L28+L30+L34+L36+L40+L42+L48+L53</f>
        <v>0</v>
      </c>
    </row>
    <row r="61" spans="2:12" s="16" customFormat="1">
      <c r="J61" s="6"/>
      <c r="K61" s="11"/>
      <c r="L61" s="12"/>
    </row>
    <row r="62" spans="2:12" s="16" customFormat="1">
      <c r="J62" s="6"/>
      <c r="K62" s="11"/>
      <c r="L62" s="12"/>
    </row>
    <row r="63" spans="2:12" s="16" customFormat="1">
      <c r="J63" s="6"/>
      <c r="K63" s="11"/>
      <c r="L63" s="12"/>
    </row>
    <row r="64" spans="2:12" s="16" customFormat="1">
      <c r="J64" s="6"/>
      <c r="K64" s="11"/>
      <c r="L64" s="12"/>
    </row>
    <row r="65" spans="1:15" ht="18" customHeight="1">
      <c r="D65" s="29"/>
      <c r="E65" s="29"/>
      <c r="F65" s="42" t="s">
        <v>54</v>
      </c>
      <c r="G65" s="42"/>
      <c r="H65" s="42"/>
      <c r="I65" s="42"/>
      <c r="J65" s="21"/>
      <c r="K65" s="21"/>
      <c r="L65" s="21"/>
      <c r="M65" s="22"/>
      <c r="N65" s="22"/>
      <c r="O65" s="22"/>
    </row>
    <row r="66" spans="1:15" ht="15">
      <c r="A66" s="29" t="s">
        <v>98</v>
      </c>
      <c r="E66" s="29"/>
      <c r="F66" s="39"/>
      <c r="G66" s="40"/>
      <c r="H66" s="30"/>
      <c r="I66" s="31" t="s">
        <v>89</v>
      </c>
      <c r="J66" s="21"/>
      <c r="K66" s="21"/>
      <c r="L66" s="21"/>
      <c r="M66" s="22"/>
      <c r="N66" s="22"/>
      <c r="O66" s="22"/>
    </row>
    <row r="67" spans="1:15">
      <c r="D67" s="29"/>
      <c r="E67" s="29"/>
      <c r="F67" s="32" t="s">
        <v>95</v>
      </c>
      <c r="G67" s="33"/>
      <c r="H67" s="33"/>
      <c r="I67" s="31" t="s">
        <v>90</v>
      </c>
      <c r="J67" s="21"/>
      <c r="K67" s="21"/>
      <c r="L67" s="21"/>
      <c r="M67" s="22"/>
      <c r="N67" s="22"/>
      <c r="O67" s="22"/>
    </row>
    <row r="68" spans="1:15">
      <c r="D68" s="29"/>
      <c r="E68" s="29"/>
      <c r="F68" s="34"/>
      <c r="G68" s="34"/>
      <c r="H68" s="34"/>
      <c r="I68" s="34"/>
      <c r="J68" s="21"/>
      <c r="K68" s="21"/>
      <c r="L68" s="21"/>
      <c r="M68" s="22"/>
      <c r="N68" s="22"/>
      <c r="O68" s="22"/>
    </row>
    <row r="69" spans="1:15">
      <c r="D69" s="29"/>
      <c r="E69" s="29"/>
      <c r="F69" s="41" t="s">
        <v>55</v>
      </c>
      <c r="G69" s="41"/>
      <c r="H69" s="41"/>
      <c r="I69" s="41"/>
      <c r="J69" s="21"/>
      <c r="K69" s="21"/>
      <c r="L69" s="21"/>
      <c r="M69" s="22"/>
      <c r="N69" s="22"/>
      <c r="O69" s="22"/>
    </row>
    <row r="70" spans="1:15" ht="15">
      <c r="A70" s="29" t="s">
        <v>99</v>
      </c>
      <c r="E70" s="29"/>
      <c r="F70" s="39"/>
      <c r="G70" s="40"/>
      <c r="H70" s="30"/>
      <c r="I70" s="31" t="s">
        <v>89</v>
      </c>
      <c r="J70" s="21"/>
      <c r="K70" s="21"/>
      <c r="L70" s="21"/>
      <c r="M70" s="22"/>
      <c r="N70" s="22"/>
      <c r="O70" s="22"/>
    </row>
    <row r="71" spans="1:15">
      <c r="D71" s="29"/>
      <c r="E71" s="29"/>
      <c r="F71" s="32" t="s">
        <v>95</v>
      </c>
      <c r="G71" s="33"/>
      <c r="H71" s="33"/>
      <c r="I71" s="31" t="s">
        <v>90</v>
      </c>
      <c r="J71" s="21"/>
      <c r="K71" s="21"/>
      <c r="L71" s="21"/>
      <c r="M71" s="22"/>
      <c r="N71" s="22"/>
      <c r="O71" s="22"/>
    </row>
    <row r="72" spans="1:15">
      <c r="D72" s="29"/>
      <c r="E72" s="29"/>
      <c r="F72" s="32"/>
      <c r="G72" s="33"/>
      <c r="H72" s="33"/>
      <c r="I72" s="31"/>
      <c r="J72" s="21"/>
      <c r="K72" s="21"/>
      <c r="L72" s="21"/>
      <c r="M72" s="22"/>
      <c r="N72" s="22"/>
      <c r="O72" s="22"/>
    </row>
    <row r="73" spans="1:15">
      <c r="D73" s="29"/>
      <c r="E73" s="29"/>
      <c r="F73" s="41" t="s">
        <v>94</v>
      </c>
      <c r="G73" s="41"/>
      <c r="H73" s="41"/>
      <c r="I73" s="41"/>
      <c r="J73" s="21"/>
      <c r="K73" s="21"/>
      <c r="L73" s="21"/>
      <c r="M73" s="22"/>
      <c r="N73" s="22"/>
      <c r="O73" s="22"/>
    </row>
    <row r="74" spans="1:15" ht="15">
      <c r="A74" s="29" t="s">
        <v>100</v>
      </c>
      <c r="E74" s="29"/>
      <c r="F74" s="39"/>
      <c r="G74" s="40"/>
      <c r="H74" s="30"/>
      <c r="I74" s="31" t="s">
        <v>89</v>
      </c>
      <c r="J74" s="21"/>
      <c r="K74" s="21"/>
      <c r="L74" s="21"/>
      <c r="M74" s="22"/>
      <c r="N74" s="22"/>
      <c r="O74" s="22"/>
    </row>
    <row r="75" spans="1:15">
      <c r="D75" s="29"/>
      <c r="E75" s="29"/>
      <c r="F75" s="32" t="s">
        <v>95</v>
      </c>
      <c r="G75" s="33"/>
      <c r="H75" s="33"/>
      <c r="I75" s="31" t="s">
        <v>90</v>
      </c>
      <c r="J75" s="21"/>
      <c r="K75" s="21"/>
      <c r="L75" s="21"/>
      <c r="M75" s="22"/>
      <c r="N75" s="22"/>
      <c r="O75" s="22"/>
    </row>
    <row r="76" spans="1:15">
      <c r="D76" s="29"/>
      <c r="E76" s="29"/>
      <c r="F76" s="34"/>
      <c r="G76" s="34"/>
      <c r="H76" s="34"/>
      <c r="I76" s="34"/>
      <c r="J76" s="21"/>
      <c r="K76" s="21"/>
      <c r="L76" s="21"/>
    </row>
    <row r="77" spans="1:15">
      <c r="D77" s="29"/>
      <c r="E77" s="29"/>
      <c r="F77" s="41" t="s">
        <v>56</v>
      </c>
      <c r="G77" s="41"/>
      <c r="H77" s="41"/>
      <c r="I77" s="41"/>
      <c r="J77" s="21"/>
      <c r="K77" s="21"/>
      <c r="L77" s="21"/>
    </row>
    <row r="78" spans="1:15" ht="15">
      <c r="A78" s="29" t="s">
        <v>101</v>
      </c>
      <c r="E78" s="29"/>
      <c r="F78" s="39"/>
      <c r="G78" s="40"/>
      <c r="H78" s="30"/>
      <c r="I78" s="31" t="s">
        <v>89</v>
      </c>
      <c r="K78" s="31" t="s">
        <v>89</v>
      </c>
    </row>
    <row r="79" spans="1:15">
      <c r="E79" s="29"/>
      <c r="F79" s="32" t="s">
        <v>95</v>
      </c>
      <c r="G79" s="33"/>
      <c r="H79" s="33"/>
      <c r="I79" s="31" t="s">
        <v>90</v>
      </c>
      <c r="K79" s="31" t="s">
        <v>96</v>
      </c>
    </row>
    <row r="80" spans="1:15">
      <c r="D80" s="29"/>
      <c r="E80" s="29"/>
      <c r="F80" s="34"/>
      <c r="G80" s="34"/>
      <c r="H80" s="34"/>
      <c r="I80" s="34"/>
    </row>
    <row r="81" spans="1:9">
      <c r="D81" s="29"/>
      <c r="E81" s="29"/>
      <c r="F81" s="41" t="s">
        <v>91</v>
      </c>
      <c r="G81" s="41"/>
      <c r="H81" s="41"/>
      <c r="I81" s="41"/>
    </row>
    <row r="82" spans="1:9" ht="15">
      <c r="A82" s="29" t="s">
        <v>102</v>
      </c>
      <c r="E82" s="29"/>
      <c r="F82" s="43"/>
      <c r="G82" s="44"/>
      <c r="H82" s="34"/>
      <c r="I82" s="34"/>
    </row>
    <row r="83" spans="1:9">
      <c r="A83" s="29" t="s">
        <v>88</v>
      </c>
      <c r="D83" s="29"/>
      <c r="E83" s="29"/>
      <c r="F83" s="41" t="s">
        <v>57</v>
      </c>
      <c r="G83" s="41"/>
      <c r="H83" s="41"/>
      <c r="I83" s="41"/>
    </row>
  </sheetData>
  <sheetProtection password="E7EF" sheet="1" objects="1" scenarios="1" formatCells="0" formatColumns="0" formatRows="0"/>
  <mergeCells count="16">
    <mergeCell ref="F9:L9"/>
    <mergeCell ref="K3:L6"/>
    <mergeCell ref="F8:L8"/>
    <mergeCell ref="F10:L10"/>
    <mergeCell ref="F12:L12"/>
    <mergeCell ref="F78:G78"/>
    <mergeCell ref="F81:I81"/>
    <mergeCell ref="F83:I83"/>
    <mergeCell ref="F65:I65"/>
    <mergeCell ref="F69:I69"/>
    <mergeCell ref="F77:I77"/>
    <mergeCell ref="F66:G66"/>
    <mergeCell ref="F70:G70"/>
    <mergeCell ref="F82:G82"/>
    <mergeCell ref="F73:I73"/>
    <mergeCell ref="F74:G74"/>
  </mergeCells>
  <dataValidations count="1">
    <dataValidation type="date" operator="notEqual" allowBlank="1" showInputMessage="1" showErrorMessage="1" errorTitle="Ошибка ввода" error="Введите дату." sqref="F82:G82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6 кл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2014-07-24T11:06:10Z</dcterms:created>
  <dcterms:modified xsi:type="dcterms:W3CDTF">2016-10-20T03:45:56Z</dcterms:modified>
</cp:coreProperties>
</file>