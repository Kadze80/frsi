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28695" windowHeight="1099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H66" i="1"/>
  <c r="G66"/>
  <c r="F66"/>
  <c r="E66"/>
  <c r="H15"/>
  <c r="H42" s="1"/>
  <c r="G15"/>
  <c r="G42" s="1"/>
  <c r="F15"/>
  <c r="F42" s="1"/>
  <c r="F68" s="1"/>
  <c r="F72" s="1"/>
  <c r="F75" s="1"/>
  <c r="E15"/>
  <c r="E42" s="1"/>
  <c r="E68" l="1"/>
  <c r="E72" s="1"/>
  <c r="E75" s="1"/>
  <c r="G68"/>
  <c r="G72" s="1"/>
  <c r="G75" s="1"/>
  <c r="H68"/>
  <c r="H72" s="1"/>
  <c r="H75" s="1"/>
</calcChain>
</file>

<file path=xl/sharedStrings.xml><?xml version="1.0" encoding="utf-8"?>
<sst xmlns="http://schemas.openxmlformats.org/spreadsheetml/2006/main" count="169" uniqueCount="109">
  <si>
    <t xml:space="preserve">Приложение 15 
к Правилам представления финансовой 
отчетности финансовыми организациями, 
специальными финансовыми компаниями, 
исламскими специальными финансовыми 
компаниями, микрофинансовыми организациями 
</t>
  </si>
  <si>
    <t>Отчет о прибылях и убытках</t>
  </si>
  <si>
    <t>( 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</si>
  <si>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</si>
  <si>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</si>
  <si>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</si>
  <si>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</si>
  <si>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период предыдущего года</t>
  </si>
  <si>
    <t>За аналогичный период с начала предыдущего года (с нарастающим итогом)</t>
  </si>
  <si>
    <t>Доход от реализации готовой продукции (работ, услуг)</t>
  </si>
  <si>
    <t>Себестоимость реализованной готовой продукции (работ, услуг)</t>
  </si>
  <si>
    <t>из них:</t>
  </si>
  <si>
    <t>расходы на материалы</t>
  </si>
  <si>
    <t>2.1</t>
  </si>
  <si>
    <t>расходы на оплату труда и командировочные</t>
  </si>
  <si>
    <t>2.2</t>
  </si>
  <si>
    <t>Валовая прибыль (стр.1 - стр. 2)</t>
  </si>
  <si>
    <t>Доходы, связанные с финансовой деятельностью</t>
  </si>
  <si>
    <t>Доходы, связанные с получением вознаграждения</t>
  </si>
  <si>
    <t>в том числе:</t>
  </si>
  <si>
    <t>по корреспондентским и текущим счетам</t>
  </si>
  <si>
    <t>4.1</t>
  </si>
  <si>
    <t>по размещенным вкладам</t>
  </si>
  <si>
    <t>4.2</t>
  </si>
  <si>
    <t>по предоставленным займам</t>
  </si>
  <si>
    <t>4.3</t>
  </si>
  <si>
    <t>по предоставленной финансовой аренде</t>
  </si>
  <si>
    <t>4.4</t>
  </si>
  <si>
    <t>по приобретенным ценным бумагам</t>
  </si>
  <si>
    <t>4.5</t>
  </si>
  <si>
    <t>по операциям «обратное РЕПО»</t>
  </si>
  <si>
    <t>4.6</t>
  </si>
  <si>
    <t>прочие доходы, связанные с получением вознаграждения</t>
  </si>
  <si>
    <t>4.7</t>
  </si>
  <si>
    <t>Доходы, не связанные с получением вознаграждения</t>
  </si>
  <si>
    <t>доходы от осуществления переводных операций</t>
  </si>
  <si>
    <t>5.1</t>
  </si>
  <si>
    <t>доходы от осуществления клиринговых операций</t>
  </si>
  <si>
    <t>5.2</t>
  </si>
  <si>
    <t>доходы от осуществления кассовых операций</t>
  </si>
  <si>
    <t>5.3</t>
  </si>
  <si>
    <t>доходы от осуществления инкассации</t>
  </si>
  <si>
    <t>5.4</t>
  </si>
  <si>
    <t>Прочие доходы, связанные с финансовой деятельностью</t>
  </si>
  <si>
    <t>Доходы (расходы) по финансовым активам (нетто)</t>
  </si>
  <si>
    <t>доходы (расходы) от купли-продажи финансовых активов (нетто)</t>
  </si>
  <si>
    <t>7.1</t>
  </si>
  <si>
    <t>доходы (расходы) от изменения стоимости финансовых активов, оцениваемых по справедливой стоимости (нетто)</t>
  </si>
  <si>
    <t>7.2</t>
  </si>
  <si>
    <t>Доходы (расходы) от переоценки иностранной валюты (нетто)</t>
  </si>
  <si>
    <t>Прочие доходы, не связанные с финансовой деятельностью</t>
  </si>
  <si>
    <t>Доходы от участия в капитале других юридических лиц</t>
  </si>
  <si>
    <t>Доходы от реализации (выбытия) активов</t>
  </si>
  <si>
    <t>Прочие доходы</t>
  </si>
  <si>
    <t>Итого доходов (сумма строк с 3 по 12)</t>
  </si>
  <si>
    <t>Расходы, связанные с реализацией готовой продукции (работ, услуг)</t>
  </si>
  <si>
    <t>Операционные расходы</t>
  </si>
  <si>
    <t>15.1</t>
  </si>
  <si>
    <t>амортизационные отчисления</t>
  </si>
  <si>
    <t>15.2</t>
  </si>
  <si>
    <t>расходы по уплате налогов и других обязательных платежей в бюджет (кроме корпоративного подоходного налога)</t>
  </si>
  <si>
    <t>15.3</t>
  </si>
  <si>
    <t>Расходы, связанные с финансовой деятельностью</t>
  </si>
  <si>
    <t>Расходы, связанные с выплатой вознаграждения</t>
  </si>
  <si>
    <t>по привлеченным вкладам</t>
  </si>
  <si>
    <t>17.1</t>
  </si>
  <si>
    <t>по полученным займам</t>
  </si>
  <si>
    <t>17.2</t>
  </si>
  <si>
    <t>по полученной финансовой аренде</t>
  </si>
  <si>
    <t>17.3</t>
  </si>
  <si>
    <t>по выпущенным ценным бумагам</t>
  </si>
  <si>
    <t>17.4</t>
  </si>
  <si>
    <t>по операциям «РЕПО»</t>
  </si>
  <si>
    <t>17.5</t>
  </si>
  <si>
    <t>прочие расходы, связанные с выплатой вознаграждения</t>
  </si>
  <si>
    <t>17.6</t>
  </si>
  <si>
    <t>Расходы по финансовой деятельности, не связанные с выплатой вознаграждения</t>
  </si>
  <si>
    <t>расходы от осуществления переводных операций</t>
  </si>
  <si>
    <t>18.1</t>
  </si>
  <si>
    <t>расходы от осуществления клиринговых операций</t>
  </si>
  <si>
    <t>18.2</t>
  </si>
  <si>
    <t>расходы от осуществления кассовых операций</t>
  </si>
  <si>
    <t>18.3</t>
  </si>
  <si>
    <t>расходы от осуществления инкассации</t>
  </si>
  <si>
    <t>18.4</t>
  </si>
  <si>
    <t>Прочие расходы</t>
  </si>
  <si>
    <t>Итого расходов (сумма строк с 14 по 19)</t>
  </si>
  <si>
    <t>Чистая прибыль (убыток) до уплаты корпоративного подоходного налога (стр. 13 - стр. 20)</t>
  </si>
  <si>
    <t>Корпоративный подоходный налог</t>
  </si>
  <si>
    <t>Чистая прибыль (убыток) после уплаты корпоративного подоходного налога (стр. 21 - стр. 22)</t>
  </si>
  <si>
    <t>Прибыль (убыток) от прекращенной деятельности</t>
  </si>
  <si>
    <t>Итого чистая прибыль (убыток) за период (стр. 23 +/- стр. 24)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</si>
  <si>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</si>
  <si>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</si>
  <si>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</si>
  <si>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</si>
  <si>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</si>
  <si>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>(подпись)</t>
  </si>
  <si>
    <t>Главный бухгалтер</t>
  </si>
  <si>
    <t xml:space="preserve">Исполнитель </t>
  </si>
  <si>
    <t>дата</t>
  </si>
  <si>
    <t>Телефон исполнителя</t>
  </si>
  <si>
    <t>Фамилия, имя, отчество (при его наличии)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</si>
  <si>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</si>
  <si>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</si>
  <si>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</si>
  <si>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</si>
  <si>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{"excelCells": [{"name": "drafted_by_tel", "type": "s", "position": "2"}]}</t>
  </si>
  <si>
    <t>{"form": "f2_kp", "xls_version":"4","begin_date":"01.05.2016", "tables": [{"name": "array", "key": "code", "position": "1","positionKey": "3",  "columns": [
{"name": "pr_sum", "type": "n0", "position": "4"},
{"name": "pr_begthis_year_sum", "type": "n0", "position": "5"},
{"name": "simpr_prev_year_sum", "type": "n0", "position": "6"},
{"name": "simpr_begprev_year_sum", "type": "n0", "position": "7"}
]}]}</t>
  </si>
</sst>
</file>

<file path=xl/styles.xml><?xml version="1.0" encoding="utf-8"?>
<styleSheet xmlns="http://schemas.openxmlformats.org/spreadsheetml/2006/main">
  <numFmts count="1">
    <numFmt numFmtId="164" formatCode="_(* #,##0.00_);_(* \(#,##0.00\);_(* &quot;-&quot;??_);_(@_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36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justify" vertical="top"/>
    </xf>
    <xf numFmtId="0" fontId="2" fillId="0" borderId="0" xfId="0" applyFont="1" applyFill="1" applyAlignment="1" applyProtection="1">
      <alignment horizontal="right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4" fillId="0" borderId="0" xfId="0" applyFont="1" applyFill="1" applyAlignment="1" applyProtection="1">
      <alignment horizont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3" xfId="1" applyNumberFormat="1" applyFont="1" applyFill="1" applyBorder="1" applyProtection="1"/>
    <xf numFmtId="3" fontId="2" fillId="0" borderId="1" xfId="1" applyNumberFormat="1" applyFont="1" applyFill="1" applyBorder="1" applyProtection="1"/>
    <xf numFmtId="49" fontId="2" fillId="0" borderId="1" xfId="0" applyNumberFormat="1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 wrapText="1"/>
    </xf>
    <xf numFmtId="3" fontId="4" fillId="0" borderId="3" xfId="1" applyNumberFormat="1" applyFont="1" applyFill="1" applyBorder="1" applyAlignment="1" applyProtection="1">
      <alignment horizontal="right"/>
    </xf>
    <xf numFmtId="3" fontId="4" fillId="0" borderId="3" xfId="1" applyNumberFormat="1" applyFont="1" applyFill="1" applyBorder="1" applyProtection="1"/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top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3" fontId="2" fillId="2" borderId="3" xfId="1" applyNumberFormat="1" applyFont="1" applyFill="1" applyBorder="1" applyProtection="1">
      <protection locked="0"/>
    </xf>
    <xf numFmtId="3" fontId="2" fillId="2" borderId="1" xfId="1" applyNumberFormat="1" applyFont="1" applyFill="1" applyBorder="1" applyProtection="1">
      <protection locked="0"/>
    </xf>
    <xf numFmtId="14" fontId="2" fillId="0" borderId="0" xfId="2" applyNumberFormat="1" applyFont="1" applyFill="1" applyAlignment="1" applyProtection="1"/>
    <xf numFmtId="0" fontId="3" fillId="0" borderId="0" xfId="0" applyFont="1" applyFill="1" applyAlignment="1" applyProtection="1">
      <alignment horizontal="right" vertical="top" wrapText="1" shrinkToFit="1"/>
    </xf>
    <xf numFmtId="0" fontId="4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wrapText="1"/>
    </xf>
    <xf numFmtId="49" fontId="2" fillId="2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93"/>
  <sheetViews>
    <sheetView tabSelected="1" workbookViewId="0">
      <pane ySplit="9" topLeftCell="A10" activePane="bottomLeft" state="frozen"/>
      <selection activeCell="C1" sqref="C1"/>
      <selection pane="bottomLeft" activeCell="C5" sqref="C5:H5"/>
    </sheetView>
  </sheetViews>
  <sheetFormatPr defaultColWidth="0" defaultRowHeight="15"/>
  <cols>
    <col min="1" max="2" width="9.140625" style="10" hidden="1" customWidth="1"/>
    <col min="3" max="3" width="50.140625" style="10" customWidth="1"/>
    <col min="4" max="4" width="8.28515625" style="10" customWidth="1"/>
    <col min="5" max="5" width="21.85546875" style="10" customWidth="1"/>
    <col min="6" max="6" width="16.7109375" style="10" customWidth="1"/>
    <col min="7" max="7" width="18.85546875" style="10" customWidth="1"/>
    <col min="8" max="8" width="16.7109375" style="10" customWidth="1"/>
    <col min="9" max="16384" width="9.140625" style="10" hidden="1"/>
  </cols>
  <sheetData>
    <row r="1" spans="1:8" ht="48" hidden="1" customHeight="1">
      <c r="A1" s="11" t="s">
        <v>108</v>
      </c>
    </row>
    <row r="2" spans="1:8" hidden="1">
      <c r="A2" s="10" t="s">
        <v>103</v>
      </c>
    </row>
    <row r="3" spans="1:8" ht="69.75" customHeight="1">
      <c r="C3" s="1"/>
      <c r="D3" s="2"/>
      <c r="E3" s="1"/>
      <c r="F3" s="3"/>
      <c r="G3" s="28" t="s">
        <v>0</v>
      </c>
      <c r="H3" s="28"/>
    </row>
    <row r="4" spans="1:8">
      <c r="C4" s="1"/>
      <c r="D4" s="2"/>
      <c r="E4" s="1"/>
      <c r="F4" s="1"/>
      <c r="G4" s="1"/>
      <c r="H4" s="1"/>
    </row>
    <row r="5" spans="1:8">
      <c r="C5" s="29" t="s">
        <v>1</v>
      </c>
      <c r="D5" s="29"/>
      <c r="E5" s="29"/>
      <c r="F5" s="29"/>
      <c r="G5" s="29"/>
      <c r="H5" s="29"/>
    </row>
    <row r="6" spans="1:8">
      <c r="C6" s="12"/>
      <c r="D6" s="12"/>
      <c r="E6" s="12"/>
      <c r="F6" s="12"/>
      <c r="G6" s="12"/>
      <c r="H6" s="12"/>
    </row>
    <row r="7" spans="1:8">
      <c r="C7" s="1"/>
      <c r="D7" s="2"/>
      <c r="E7" s="1"/>
      <c r="F7" s="1"/>
      <c r="G7" s="1"/>
      <c r="H7" s="4" t="s">
        <v>2</v>
      </c>
    </row>
    <row r="8" spans="1:8" ht="63.75">
      <c r="C8" s="21" t="s">
        <v>3</v>
      </c>
      <c r="D8" s="21" t="s">
        <v>4</v>
      </c>
      <c r="E8" s="21" t="s">
        <v>5</v>
      </c>
      <c r="F8" s="22" t="s">
        <v>6</v>
      </c>
      <c r="G8" s="22" t="s">
        <v>7</v>
      </c>
      <c r="H8" s="22" t="s">
        <v>8</v>
      </c>
    </row>
    <row r="9" spans="1:8">
      <c r="B9" s="10" t="s">
        <v>92</v>
      </c>
      <c r="C9" s="23">
        <v>1</v>
      </c>
      <c r="D9" s="23">
        <v>2</v>
      </c>
      <c r="E9" s="24">
        <v>3</v>
      </c>
      <c r="F9" s="24">
        <v>4</v>
      </c>
      <c r="G9" s="24">
        <v>5</v>
      </c>
      <c r="H9" s="24">
        <v>6</v>
      </c>
    </row>
    <row r="10" spans="1:8">
      <c r="B10" s="10" t="s">
        <v>93</v>
      </c>
      <c r="C10" s="13" t="s">
        <v>9</v>
      </c>
      <c r="D10" s="14">
        <v>1</v>
      </c>
      <c r="E10" s="25"/>
      <c r="F10" s="26"/>
      <c r="G10" s="26"/>
      <c r="H10" s="26"/>
    </row>
    <row r="11" spans="1:8" ht="25.5">
      <c r="B11" s="10" t="s">
        <v>93</v>
      </c>
      <c r="C11" s="13" t="s">
        <v>10</v>
      </c>
      <c r="D11" s="14">
        <v>2</v>
      </c>
      <c r="E11" s="25"/>
      <c r="F11" s="26"/>
      <c r="G11" s="26"/>
      <c r="H11" s="26"/>
    </row>
    <row r="12" spans="1:8">
      <c r="C12" s="13" t="s">
        <v>11</v>
      </c>
      <c r="D12" s="14"/>
      <c r="E12" s="15"/>
      <c r="F12" s="16"/>
      <c r="G12" s="16"/>
      <c r="H12" s="16"/>
    </row>
    <row r="13" spans="1:8">
      <c r="B13" s="10" t="s">
        <v>93</v>
      </c>
      <c r="C13" s="13" t="s">
        <v>12</v>
      </c>
      <c r="D13" s="17" t="s">
        <v>13</v>
      </c>
      <c r="E13" s="25"/>
      <c r="F13" s="26"/>
      <c r="G13" s="26"/>
      <c r="H13" s="26"/>
    </row>
    <row r="14" spans="1:8">
      <c r="B14" s="10" t="s">
        <v>93</v>
      </c>
      <c r="C14" s="13" t="s">
        <v>14</v>
      </c>
      <c r="D14" s="17" t="s">
        <v>15</v>
      </c>
      <c r="E14" s="25"/>
      <c r="F14" s="26"/>
      <c r="G14" s="26"/>
      <c r="H14" s="26"/>
    </row>
    <row r="15" spans="1:8">
      <c r="C15" s="18" t="s">
        <v>16</v>
      </c>
      <c r="D15" s="14">
        <v>3</v>
      </c>
      <c r="E15" s="19">
        <f>E10-E11</f>
        <v>0</v>
      </c>
      <c r="F15" s="19">
        <f>F10-F11</f>
        <v>0</v>
      </c>
      <c r="G15" s="19">
        <f>G10-G11</f>
        <v>0</v>
      </c>
      <c r="H15" s="19">
        <f>H10-H11</f>
        <v>0</v>
      </c>
    </row>
    <row r="16" spans="1:8">
      <c r="C16" s="13" t="s">
        <v>17</v>
      </c>
      <c r="D16" s="14"/>
      <c r="E16" s="15"/>
      <c r="F16" s="16"/>
      <c r="G16" s="16"/>
      <c r="H16" s="16"/>
    </row>
    <row r="17" spans="2:8">
      <c r="B17" s="10" t="s">
        <v>93</v>
      </c>
      <c r="C17" s="13" t="s">
        <v>18</v>
      </c>
      <c r="D17" s="14">
        <v>4</v>
      </c>
      <c r="E17" s="25"/>
      <c r="F17" s="26"/>
      <c r="G17" s="26"/>
      <c r="H17" s="26"/>
    </row>
    <row r="18" spans="2:8">
      <c r="C18" s="13" t="s">
        <v>19</v>
      </c>
      <c r="D18" s="14"/>
      <c r="E18" s="15"/>
      <c r="F18" s="16"/>
      <c r="G18" s="16"/>
      <c r="H18" s="16"/>
    </row>
    <row r="19" spans="2:8">
      <c r="B19" s="10" t="s">
        <v>93</v>
      </c>
      <c r="C19" s="13" t="s">
        <v>20</v>
      </c>
      <c r="D19" s="17" t="s">
        <v>21</v>
      </c>
      <c r="E19" s="25"/>
      <c r="F19" s="26"/>
      <c r="G19" s="26"/>
      <c r="H19" s="26"/>
    </row>
    <row r="20" spans="2:8">
      <c r="B20" s="10" t="s">
        <v>93</v>
      </c>
      <c r="C20" s="13" t="s">
        <v>22</v>
      </c>
      <c r="D20" s="17" t="s">
        <v>23</v>
      </c>
      <c r="E20" s="25"/>
      <c r="F20" s="26"/>
      <c r="G20" s="26"/>
      <c r="H20" s="26"/>
    </row>
    <row r="21" spans="2:8">
      <c r="B21" s="10" t="s">
        <v>93</v>
      </c>
      <c r="C21" s="13" t="s">
        <v>24</v>
      </c>
      <c r="D21" s="17" t="s">
        <v>25</v>
      </c>
      <c r="E21" s="25"/>
      <c r="F21" s="26"/>
      <c r="G21" s="26"/>
      <c r="H21" s="26"/>
    </row>
    <row r="22" spans="2:8">
      <c r="B22" s="10" t="s">
        <v>93</v>
      </c>
      <c r="C22" s="13" t="s">
        <v>26</v>
      </c>
      <c r="D22" s="17" t="s">
        <v>27</v>
      </c>
      <c r="E22" s="25"/>
      <c r="F22" s="26"/>
      <c r="G22" s="26"/>
      <c r="H22" s="26"/>
    </row>
    <row r="23" spans="2:8">
      <c r="B23" s="10" t="s">
        <v>93</v>
      </c>
      <c r="C23" s="13" t="s">
        <v>28</v>
      </c>
      <c r="D23" s="17" t="s">
        <v>29</v>
      </c>
      <c r="E23" s="25"/>
      <c r="F23" s="26"/>
      <c r="G23" s="26"/>
      <c r="H23" s="26"/>
    </row>
    <row r="24" spans="2:8">
      <c r="B24" s="10" t="s">
        <v>93</v>
      </c>
      <c r="C24" s="13" t="s">
        <v>30</v>
      </c>
      <c r="D24" s="17" t="s">
        <v>31</v>
      </c>
      <c r="E24" s="25"/>
      <c r="F24" s="26"/>
      <c r="G24" s="26"/>
      <c r="H24" s="26"/>
    </row>
    <row r="25" spans="2:8">
      <c r="B25" s="10" t="s">
        <v>93</v>
      </c>
      <c r="C25" s="13" t="s">
        <v>32</v>
      </c>
      <c r="D25" s="17" t="s">
        <v>33</v>
      </c>
      <c r="E25" s="25"/>
      <c r="F25" s="26"/>
      <c r="G25" s="26"/>
      <c r="H25" s="26"/>
    </row>
    <row r="26" spans="2:8">
      <c r="B26" s="10" t="s">
        <v>93</v>
      </c>
      <c r="C26" s="13" t="s">
        <v>34</v>
      </c>
      <c r="D26" s="14">
        <v>5</v>
      </c>
      <c r="E26" s="25"/>
      <c r="F26" s="26"/>
      <c r="G26" s="26"/>
      <c r="H26" s="26"/>
    </row>
    <row r="27" spans="2:8">
      <c r="C27" s="13" t="s">
        <v>19</v>
      </c>
      <c r="D27" s="14"/>
      <c r="E27" s="15"/>
      <c r="F27" s="16"/>
      <c r="G27" s="16"/>
      <c r="H27" s="16"/>
    </row>
    <row r="28" spans="2:8">
      <c r="B28" s="10" t="s">
        <v>93</v>
      </c>
      <c r="C28" s="13" t="s">
        <v>35</v>
      </c>
      <c r="D28" s="17" t="s">
        <v>36</v>
      </c>
      <c r="E28" s="25"/>
      <c r="F28" s="26"/>
      <c r="G28" s="26"/>
      <c r="H28" s="26"/>
    </row>
    <row r="29" spans="2:8">
      <c r="B29" s="10" t="s">
        <v>93</v>
      </c>
      <c r="C29" s="13" t="s">
        <v>37</v>
      </c>
      <c r="D29" s="17" t="s">
        <v>38</v>
      </c>
      <c r="E29" s="25"/>
      <c r="F29" s="26"/>
      <c r="G29" s="26"/>
      <c r="H29" s="26"/>
    </row>
    <row r="30" spans="2:8">
      <c r="B30" s="10" t="s">
        <v>93</v>
      </c>
      <c r="C30" s="13" t="s">
        <v>39</v>
      </c>
      <c r="D30" s="17" t="s">
        <v>40</v>
      </c>
      <c r="E30" s="25"/>
      <c r="F30" s="26"/>
      <c r="G30" s="26"/>
      <c r="H30" s="26"/>
    </row>
    <row r="31" spans="2:8">
      <c r="B31" s="10" t="s">
        <v>93</v>
      </c>
      <c r="C31" s="13" t="s">
        <v>41</v>
      </c>
      <c r="D31" s="17" t="s">
        <v>42</v>
      </c>
      <c r="E31" s="25"/>
      <c r="F31" s="26"/>
      <c r="G31" s="26"/>
      <c r="H31" s="26"/>
    </row>
    <row r="32" spans="2:8">
      <c r="B32" s="10" t="s">
        <v>93</v>
      </c>
      <c r="C32" s="13" t="s">
        <v>43</v>
      </c>
      <c r="D32" s="14">
        <v>6</v>
      </c>
      <c r="E32" s="25"/>
      <c r="F32" s="26"/>
      <c r="G32" s="26"/>
      <c r="H32" s="26"/>
    </row>
    <row r="33" spans="2:8">
      <c r="B33" s="10" t="s">
        <v>93</v>
      </c>
      <c r="C33" s="13" t="s">
        <v>44</v>
      </c>
      <c r="D33" s="14">
        <v>7</v>
      </c>
      <c r="E33" s="25"/>
      <c r="F33" s="26"/>
      <c r="G33" s="26"/>
      <c r="H33" s="26"/>
    </row>
    <row r="34" spans="2:8">
      <c r="C34" s="13" t="s">
        <v>19</v>
      </c>
      <c r="D34" s="14"/>
      <c r="E34" s="15"/>
      <c r="F34" s="16"/>
      <c r="G34" s="16"/>
      <c r="H34" s="16"/>
    </row>
    <row r="35" spans="2:8" ht="25.5">
      <c r="B35" s="10" t="s">
        <v>93</v>
      </c>
      <c r="C35" s="13" t="s">
        <v>45</v>
      </c>
      <c r="D35" s="17" t="s">
        <v>46</v>
      </c>
      <c r="E35" s="25"/>
      <c r="F35" s="26"/>
      <c r="G35" s="26"/>
      <c r="H35" s="26"/>
    </row>
    <row r="36" spans="2:8" ht="25.5">
      <c r="B36" s="10" t="s">
        <v>93</v>
      </c>
      <c r="C36" s="13" t="s">
        <v>47</v>
      </c>
      <c r="D36" s="17" t="s">
        <v>48</v>
      </c>
      <c r="E36" s="25"/>
      <c r="F36" s="26"/>
      <c r="G36" s="26"/>
      <c r="H36" s="26"/>
    </row>
    <row r="37" spans="2:8" ht="25.5">
      <c r="B37" s="10" t="s">
        <v>93</v>
      </c>
      <c r="C37" s="13" t="s">
        <v>49</v>
      </c>
      <c r="D37" s="14">
        <v>8</v>
      </c>
      <c r="E37" s="25"/>
      <c r="F37" s="26"/>
      <c r="G37" s="26"/>
      <c r="H37" s="26"/>
    </row>
    <row r="38" spans="2:8">
      <c r="B38" s="10" t="s">
        <v>93</v>
      </c>
      <c r="C38" s="13" t="s">
        <v>50</v>
      </c>
      <c r="D38" s="14">
        <v>9</v>
      </c>
      <c r="E38" s="25"/>
      <c r="F38" s="26"/>
      <c r="G38" s="26"/>
      <c r="H38" s="26"/>
    </row>
    <row r="39" spans="2:8">
      <c r="B39" s="10" t="s">
        <v>93</v>
      </c>
      <c r="C39" s="13" t="s">
        <v>51</v>
      </c>
      <c r="D39" s="14">
        <v>10</v>
      </c>
      <c r="E39" s="25"/>
      <c r="F39" s="26"/>
      <c r="G39" s="26"/>
      <c r="H39" s="26"/>
    </row>
    <row r="40" spans="2:8">
      <c r="B40" s="10" t="s">
        <v>93</v>
      </c>
      <c r="C40" s="13" t="s">
        <v>52</v>
      </c>
      <c r="D40" s="14">
        <v>11</v>
      </c>
      <c r="E40" s="25"/>
      <c r="F40" s="26"/>
      <c r="G40" s="26"/>
      <c r="H40" s="26"/>
    </row>
    <row r="41" spans="2:8">
      <c r="B41" s="10" t="s">
        <v>93</v>
      </c>
      <c r="C41" s="13" t="s">
        <v>53</v>
      </c>
      <c r="D41" s="14">
        <v>12</v>
      </c>
      <c r="E41" s="25"/>
      <c r="F41" s="26"/>
      <c r="G41" s="26"/>
      <c r="H41" s="26"/>
    </row>
    <row r="42" spans="2:8">
      <c r="C42" s="18" t="s">
        <v>54</v>
      </c>
      <c r="D42" s="14">
        <v>13</v>
      </c>
      <c r="E42" s="20">
        <f>E15+E17+E26+E32+E33+E37+E38+E39+E40+E41</f>
        <v>0</v>
      </c>
      <c r="F42" s="20">
        <f>F15+F17+F26+F32+F33+F37+F38+F39+F40+F41</f>
        <v>0</v>
      </c>
      <c r="G42" s="20">
        <f>G15+G17+G26+G32+G33+G37+G38+G39+G40+G41</f>
        <v>0</v>
      </c>
      <c r="H42" s="20">
        <f>H15+H17+H26+H32+H33+H37+H38+H39+H40+H41</f>
        <v>0</v>
      </c>
    </row>
    <row r="43" spans="2:8">
      <c r="C43" s="13"/>
      <c r="D43" s="14"/>
      <c r="E43" s="15"/>
      <c r="F43" s="16"/>
      <c r="G43" s="16"/>
      <c r="H43" s="16"/>
    </row>
    <row r="44" spans="2:8" ht="25.5">
      <c r="B44" s="10" t="s">
        <v>93</v>
      </c>
      <c r="C44" s="13" t="s">
        <v>55</v>
      </c>
      <c r="D44" s="14">
        <v>14</v>
      </c>
      <c r="E44" s="25"/>
      <c r="F44" s="26"/>
      <c r="G44" s="26"/>
      <c r="H44" s="26"/>
    </row>
    <row r="45" spans="2:8">
      <c r="B45" s="10" t="s">
        <v>93</v>
      </c>
      <c r="C45" s="13" t="s">
        <v>56</v>
      </c>
      <c r="D45" s="14">
        <v>15</v>
      </c>
      <c r="E45" s="25"/>
      <c r="F45" s="26"/>
      <c r="G45" s="26"/>
      <c r="H45" s="26"/>
    </row>
    <row r="46" spans="2:8">
      <c r="C46" s="13" t="s">
        <v>19</v>
      </c>
      <c r="D46" s="14"/>
      <c r="E46" s="15"/>
      <c r="F46" s="16"/>
      <c r="G46" s="16"/>
      <c r="H46" s="16"/>
    </row>
    <row r="47" spans="2:8">
      <c r="B47" s="10" t="s">
        <v>93</v>
      </c>
      <c r="C47" s="13" t="s">
        <v>14</v>
      </c>
      <c r="D47" s="17" t="s">
        <v>57</v>
      </c>
      <c r="E47" s="25"/>
      <c r="F47" s="26"/>
      <c r="G47" s="26"/>
      <c r="H47" s="26"/>
    </row>
    <row r="48" spans="2:8">
      <c r="B48" s="10" t="s">
        <v>93</v>
      </c>
      <c r="C48" s="13" t="s">
        <v>58</v>
      </c>
      <c r="D48" s="17" t="s">
        <v>59</v>
      </c>
      <c r="E48" s="25"/>
      <c r="F48" s="26"/>
      <c r="G48" s="26"/>
      <c r="H48" s="26"/>
    </row>
    <row r="49" spans="2:8" ht="25.5">
      <c r="B49" s="10" t="s">
        <v>93</v>
      </c>
      <c r="C49" s="13" t="s">
        <v>60</v>
      </c>
      <c r="D49" s="17" t="s">
        <v>61</v>
      </c>
      <c r="E49" s="25"/>
      <c r="F49" s="26"/>
      <c r="G49" s="26"/>
      <c r="H49" s="26"/>
    </row>
    <row r="50" spans="2:8">
      <c r="B50" s="10" t="s">
        <v>93</v>
      </c>
      <c r="C50" s="13" t="s">
        <v>62</v>
      </c>
      <c r="D50" s="14">
        <v>16</v>
      </c>
      <c r="E50" s="25"/>
      <c r="F50" s="26"/>
      <c r="G50" s="26"/>
      <c r="H50" s="26"/>
    </row>
    <row r="51" spans="2:8">
      <c r="B51" s="10" t="s">
        <v>93</v>
      </c>
      <c r="C51" s="13" t="s">
        <v>63</v>
      </c>
      <c r="D51" s="14">
        <v>17</v>
      </c>
      <c r="E51" s="25"/>
      <c r="F51" s="26"/>
      <c r="G51" s="26"/>
      <c r="H51" s="26"/>
    </row>
    <row r="52" spans="2:8">
      <c r="C52" s="13" t="s">
        <v>19</v>
      </c>
      <c r="D52" s="14"/>
      <c r="E52" s="15"/>
      <c r="F52" s="16"/>
      <c r="G52" s="16"/>
      <c r="H52" s="16"/>
    </row>
    <row r="53" spans="2:8">
      <c r="B53" s="10" t="s">
        <v>93</v>
      </c>
      <c r="C53" s="13" t="s">
        <v>64</v>
      </c>
      <c r="D53" s="17" t="s">
        <v>65</v>
      </c>
      <c r="E53" s="25"/>
      <c r="F53" s="26"/>
      <c r="G53" s="26"/>
      <c r="H53" s="26"/>
    </row>
    <row r="54" spans="2:8">
      <c r="B54" s="10" t="s">
        <v>93</v>
      </c>
      <c r="C54" s="13" t="s">
        <v>66</v>
      </c>
      <c r="D54" s="17" t="s">
        <v>67</v>
      </c>
      <c r="E54" s="25"/>
      <c r="F54" s="26"/>
      <c r="G54" s="26"/>
      <c r="H54" s="26"/>
    </row>
    <row r="55" spans="2:8">
      <c r="B55" s="10" t="s">
        <v>93</v>
      </c>
      <c r="C55" s="13" t="s">
        <v>68</v>
      </c>
      <c r="D55" s="17" t="s">
        <v>69</v>
      </c>
      <c r="E55" s="25"/>
      <c r="F55" s="26"/>
      <c r="G55" s="26"/>
      <c r="H55" s="26"/>
    </row>
    <row r="56" spans="2:8">
      <c r="B56" s="10" t="s">
        <v>93</v>
      </c>
      <c r="C56" s="13" t="s">
        <v>70</v>
      </c>
      <c r="D56" s="17" t="s">
        <v>71</v>
      </c>
      <c r="E56" s="25"/>
      <c r="F56" s="26"/>
      <c r="G56" s="26"/>
      <c r="H56" s="26"/>
    </row>
    <row r="57" spans="2:8">
      <c r="B57" s="10" t="s">
        <v>93</v>
      </c>
      <c r="C57" s="13" t="s">
        <v>72</v>
      </c>
      <c r="D57" s="17" t="s">
        <v>73</v>
      </c>
      <c r="E57" s="25"/>
      <c r="F57" s="26"/>
      <c r="G57" s="26"/>
      <c r="H57" s="26"/>
    </row>
    <row r="58" spans="2:8">
      <c r="B58" s="10" t="s">
        <v>93</v>
      </c>
      <c r="C58" s="13" t="s">
        <v>74</v>
      </c>
      <c r="D58" s="17" t="s">
        <v>75</v>
      </c>
      <c r="E58" s="25"/>
      <c r="F58" s="26"/>
      <c r="G58" s="26"/>
      <c r="H58" s="26"/>
    </row>
    <row r="59" spans="2:8" ht="25.5">
      <c r="B59" s="10" t="s">
        <v>93</v>
      </c>
      <c r="C59" s="13" t="s">
        <v>76</v>
      </c>
      <c r="D59" s="14">
        <v>18</v>
      </c>
      <c r="E59" s="25"/>
      <c r="F59" s="26"/>
      <c r="G59" s="26"/>
      <c r="H59" s="26"/>
    </row>
    <row r="60" spans="2:8">
      <c r="C60" s="13" t="s">
        <v>19</v>
      </c>
      <c r="D60" s="14"/>
      <c r="E60" s="15"/>
      <c r="F60" s="16"/>
      <c r="G60" s="16"/>
      <c r="H60" s="16"/>
    </row>
    <row r="61" spans="2:8">
      <c r="B61" s="10" t="s">
        <v>93</v>
      </c>
      <c r="C61" s="13" t="s">
        <v>77</v>
      </c>
      <c r="D61" s="17" t="s">
        <v>78</v>
      </c>
      <c r="E61" s="25"/>
      <c r="F61" s="26"/>
      <c r="G61" s="26"/>
      <c r="H61" s="26"/>
    </row>
    <row r="62" spans="2:8">
      <c r="B62" s="10" t="s">
        <v>93</v>
      </c>
      <c r="C62" s="13" t="s">
        <v>79</v>
      </c>
      <c r="D62" s="17" t="s">
        <v>80</v>
      </c>
      <c r="E62" s="25"/>
      <c r="F62" s="26"/>
      <c r="G62" s="26"/>
      <c r="H62" s="26"/>
    </row>
    <row r="63" spans="2:8">
      <c r="B63" s="10" t="s">
        <v>93</v>
      </c>
      <c r="C63" s="13" t="s">
        <v>81</v>
      </c>
      <c r="D63" s="17" t="s">
        <v>82</v>
      </c>
      <c r="E63" s="25"/>
      <c r="F63" s="26"/>
      <c r="G63" s="26"/>
      <c r="H63" s="26"/>
    </row>
    <row r="64" spans="2:8">
      <c r="B64" s="10" t="s">
        <v>93</v>
      </c>
      <c r="C64" s="13" t="s">
        <v>83</v>
      </c>
      <c r="D64" s="17" t="s">
        <v>84</v>
      </c>
      <c r="E64" s="25"/>
      <c r="F64" s="26"/>
      <c r="G64" s="26"/>
      <c r="H64" s="26"/>
    </row>
    <row r="65" spans="1:8">
      <c r="B65" s="10" t="s">
        <v>93</v>
      </c>
      <c r="C65" s="13" t="s">
        <v>85</v>
      </c>
      <c r="D65" s="14">
        <v>19</v>
      </c>
      <c r="E65" s="25"/>
      <c r="F65" s="26"/>
      <c r="G65" s="26"/>
      <c r="H65" s="26"/>
    </row>
    <row r="66" spans="1:8">
      <c r="C66" s="18" t="s">
        <v>86</v>
      </c>
      <c r="D66" s="14">
        <v>20</v>
      </c>
      <c r="E66" s="20">
        <f>E44+E45+E50+E51+E59+E65</f>
        <v>0</v>
      </c>
      <c r="F66" s="20">
        <f>F44+F45+F50+F51+F59+F65</f>
        <v>0</v>
      </c>
      <c r="G66" s="20">
        <f>G44+G45+G50+G51+G59+G65</f>
        <v>0</v>
      </c>
      <c r="H66" s="20">
        <f>H44+H45+H50+H51+H59+H65</f>
        <v>0</v>
      </c>
    </row>
    <row r="67" spans="1:8">
      <c r="C67" s="13"/>
      <c r="D67" s="14"/>
      <c r="E67" s="15"/>
      <c r="F67" s="16"/>
      <c r="G67" s="16"/>
      <c r="H67" s="16"/>
    </row>
    <row r="68" spans="1:8" ht="25.5">
      <c r="C68" s="18" t="s">
        <v>87</v>
      </c>
      <c r="D68" s="14">
        <v>21</v>
      </c>
      <c r="E68" s="20">
        <f>E42-E66</f>
        <v>0</v>
      </c>
      <c r="F68" s="20">
        <f>F42-F66</f>
        <v>0</v>
      </c>
      <c r="G68" s="20">
        <f>G42-G66</f>
        <v>0</v>
      </c>
      <c r="H68" s="20">
        <f>H42-H66</f>
        <v>0</v>
      </c>
    </row>
    <row r="69" spans="1:8">
      <c r="C69" s="13"/>
      <c r="D69" s="14"/>
      <c r="E69" s="15"/>
      <c r="F69" s="16"/>
      <c r="G69" s="16"/>
      <c r="H69" s="16"/>
    </row>
    <row r="70" spans="1:8">
      <c r="B70" s="10" t="s">
        <v>93</v>
      </c>
      <c r="C70" s="13" t="s">
        <v>88</v>
      </c>
      <c r="D70" s="14">
        <v>22</v>
      </c>
      <c r="E70" s="25"/>
      <c r="F70" s="26"/>
      <c r="G70" s="26"/>
      <c r="H70" s="26"/>
    </row>
    <row r="71" spans="1:8">
      <c r="C71" s="13"/>
      <c r="D71" s="14"/>
      <c r="E71" s="15"/>
      <c r="F71" s="16"/>
      <c r="G71" s="16"/>
      <c r="H71" s="16"/>
    </row>
    <row r="72" spans="1:8" ht="25.5">
      <c r="C72" s="18" t="s">
        <v>89</v>
      </c>
      <c r="D72" s="14">
        <v>23</v>
      </c>
      <c r="E72" s="20">
        <f>E68-E70</f>
        <v>0</v>
      </c>
      <c r="F72" s="20">
        <f>F68-F70</f>
        <v>0</v>
      </c>
      <c r="G72" s="20">
        <f>G68-G70</f>
        <v>0</v>
      </c>
      <c r="H72" s="20">
        <f>H68-H70</f>
        <v>0</v>
      </c>
    </row>
    <row r="73" spans="1:8">
      <c r="B73" s="10" t="s">
        <v>93</v>
      </c>
      <c r="C73" s="13" t="s">
        <v>90</v>
      </c>
      <c r="D73" s="14">
        <v>24</v>
      </c>
      <c r="E73" s="25"/>
      <c r="F73" s="26"/>
      <c r="G73" s="26"/>
      <c r="H73" s="26"/>
    </row>
    <row r="74" spans="1:8">
      <c r="B74" s="5" t="s">
        <v>94</v>
      </c>
      <c r="C74" s="13"/>
      <c r="D74" s="14"/>
      <c r="E74" s="15"/>
      <c r="F74" s="16"/>
      <c r="G74" s="16"/>
      <c r="H74" s="16"/>
    </row>
    <row r="75" spans="1:8" ht="25.5">
      <c r="C75" s="18" t="s">
        <v>91</v>
      </c>
      <c r="D75" s="14">
        <v>25</v>
      </c>
      <c r="E75" s="20">
        <f>E72+E73</f>
        <v>0</v>
      </c>
      <c r="F75" s="20">
        <f t="shared" ref="F75:H75" si="0">F72+F73</f>
        <v>0</v>
      </c>
      <c r="G75" s="20">
        <f t="shared" si="0"/>
        <v>0</v>
      </c>
      <c r="H75" s="20">
        <f t="shared" si="0"/>
        <v>0</v>
      </c>
    </row>
    <row r="79" spans="1:8">
      <c r="B79" s="5"/>
      <c r="C79" s="30" t="s">
        <v>95</v>
      </c>
      <c r="D79" s="30"/>
      <c r="E79" s="30"/>
      <c r="F79" s="30"/>
    </row>
    <row r="80" spans="1:8">
      <c r="A80" s="5" t="s">
        <v>104</v>
      </c>
      <c r="C80" s="34"/>
      <c r="D80" s="35"/>
      <c r="E80" s="6" t="s">
        <v>96</v>
      </c>
      <c r="F80" s="27"/>
    </row>
    <row r="81" spans="1:6">
      <c r="B81" s="5"/>
      <c r="C81" s="7" t="s">
        <v>102</v>
      </c>
      <c r="D81" s="8"/>
      <c r="E81" s="6" t="s">
        <v>97</v>
      </c>
      <c r="F81" s="6" t="s">
        <v>100</v>
      </c>
    </row>
    <row r="82" spans="1:6">
      <c r="B82" s="5"/>
      <c r="C82" s="9"/>
      <c r="D82" s="9"/>
      <c r="E82" s="9"/>
      <c r="F82" s="9"/>
    </row>
    <row r="83" spans="1:6">
      <c r="B83" s="5"/>
      <c r="C83" s="33" t="s">
        <v>98</v>
      </c>
      <c r="D83" s="33"/>
      <c r="E83" s="33"/>
      <c r="F83" s="33"/>
    </row>
    <row r="84" spans="1:6">
      <c r="A84" s="5" t="s">
        <v>105</v>
      </c>
      <c r="C84" s="34"/>
      <c r="D84" s="35"/>
      <c r="E84" s="6" t="s">
        <v>96</v>
      </c>
      <c r="F84" s="27"/>
    </row>
    <row r="85" spans="1:6">
      <c r="B85" s="5"/>
      <c r="C85" s="7" t="s">
        <v>102</v>
      </c>
      <c r="D85" s="8"/>
      <c r="E85" s="6" t="s">
        <v>97</v>
      </c>
      <c r="F85" s="6" t="s">
        <v>100</v>
      </c>
    </row>
    <row r="86" spans="1:6">
      <c r="B86" s="5"/>
      <c r="C86" s="9"/>
      <c r="D86" s="9"/>
      <c r="E86" s="9"/>
      <c r="F86" s="9"/>
    </row>
    <row r="87" spans="1:6">
      <c r="B87" s="5"/>
      <c r="C87" s="33" t="s">
        <v>99</v>
      </c>
      <c r="D87" s="33"/>
      <c r="E87" s="33"/>
      <c r="F87" s="33"/>
    </row>
    <row r="88" spans="1:6">
      <c r="A88" s="5" t="s">
        <v>106</v>
      </c>
      <c r="C88" s="34"/>
      <c r="D88" s="35"/>
      <c r="E88" s="6" t="s">
        <v>96</v>
      </c>
      <c r="F88" s="27"/>
    </row>
    <row r="89" spans="1:6">
      <c r="C89" s="7" t="s">
        <v>102</v>
      </c>
      <c r="D89" s="8"/>
      <c r="E89" s="6" t="s">
        <v>97</v>
      </c>
      <c r="F89" s="6"/>
    </row>
    <row r="90" spans="1:6">
      <c r="B90" s="5"/>
      <c r="C90" s="9"/>
      <c r="D90" s="9"/>
      <c r="E90" s="9"/>
      <c r="F90" s="9"/>
    </row>
    <row r="91" spans="1:6">
      <c r="B91" s="5"/>
      <c r="C91" s="33" t="s">
        <v>101</v>
      </c>
      <c r="D91" s="33"/>
      <c r="E91" s="33"/>
      <c r="F91" s="33"/>
    </row>
    <row r="92" spans="1:6">
      <c r="A92" s="5" t="s">
        <v>107</v>
      </c>
      <c r="C92" s="31"/>
      <c r="D92" s="32"/>
      <c r="E92" s="9"/>
      <c r="F92" s="9"/>
    </row>
    <row r="93" spans="1:6">
      <c r="A93" s="5" t="s">
        <v>94</v>
      </c>
      <c r="B93" s="5"/>
      <c r="C93" s="33"/>
      <c r="D93" s="33"/>
      <c r="E93" s="33"/>
      <c r="F93" s="33"/>
    </row>
  </sheetData>
  <sheetProtection password="E7EF" sheet="1" objects="1" scenarios="1" formatCells="0" formatColumns="0" formatRows="0"/>
  <mergeCells count="11">
    <mergeCell ref="G3:H3"/>
    <mergeCell ref="C5:H5"/>
    <mergeCell ref="C79:F79"/>
    <mergeCell ref="C92:D92"/>
    <mergeCell ref="C93:F93"/>
    <mergeCell ref="C80:D80"/>
    <mergeCell ref="C83:F83"/>
    <mergeCell ref="C84:D84"/>
    <mergeCell ref="C87:F87"/>
    <mergeCell ref="C88:D88"/>
    <mergeCell ref="C91:F91"/>
  </mergeCells>
  <dataValidations count="3">
    <dataValidation type="date" operator="notEqual" allowBlank="1" showInputMessage="1" showErrorMessage="1" errorTitle="Ошибка ввода" error="Введите дату." sqref="F88 F80 F84">
      <formula1>73050</formula1>
    </dataValidation>
    <dataValidation operator="notEqual" allowBlank="1" showInputMessage="1" showErrorMessage="1" sqref="C92:D92"/>
    <dataValidation type="whole" operator="notEqual" allowBlank="1" showInputMessage="1" showErrorMessage="1" errorTitle="Ошибка ввода" error="Введите целое число." sqref="E10:H11 E13:H14 E17:H17 E19:H26 E28:H33 E35:H41 E44:H45 E47:H51 E53:H59 E61:H65 E70:H70 E73:H73 E75:H75">
      <formula1>-1234567890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Нуриддин Байдеуов</dc:creator>
  <cp:lastModifiedBy>Бахтияр Аюпов</cp:lastModifiedBy>
  <dcterms:created xsi:type="dcterms:W3CDTF">2016-05-04T04:36:17Z</dcterms:created>
  <dcterms:modified xsi:type="dcterms:W3CDTF">2016-10-20T03:35:11Z</dcterms:modified>
</cp:coreProperties>
</file>