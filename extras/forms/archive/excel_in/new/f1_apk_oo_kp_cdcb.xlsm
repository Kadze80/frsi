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4700" yWindow="690" windowWidth="13455" windowHeight="12525"/>
  </bookViews>
  <sheets>
    <sheet name="Ф1 АПК ОО Казпочта ЦДЦБ" sheetId="4" r:id="rId1"/>
  </sheets>
  <externalReferences>
    <externalReference r:id="rId2"/>
  </externalReferences>
  <definedNames>
    <definedName name="q">#REF!</definedName>
    <definedName name="z">#REF!</definedName>
    <definedName name="вп">#REF!</definedName>
    <definedName name="дата">#REF!</definedName>
    <definedName name="_xlnm.Print_Area" localSheetId="0">'Ф1 АПК ОО Казпочта ЦДЦБ'!$A$1:$F$115</definedName>
    <definedName name="Страны">[1]Лист1!$A$1:$A$5</definedName>
    <definedName name="ф77" localSheetId="0">#REF!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D64" i="4"/>
  <c r="C64"/>
  <c r="D55"/>
  <c r="C55"/>
  <c r="D24"/>
  <c r="C24"/>
  <c r="D17"/>
  <c r="C17"/>
  <c r="D98"/>
  <c r="C98"/>
  <c r="C93"/>
  <c r="D93"/>
  <c r="D82" l="1"/>
  <c r="D100" s="1"/>
  <c r="C82"/>
  <c r="C100" s="1"/>
  <c r="D51"/>
  <c r="C51"/>
</calcChain>
</file>

<file path=xl/sharedStrings.xml><?xml version="1.0" encoding="utf-8"?>
<sst xmlns="http://schemas.openxmlformats.org/spreadsheetml/2006/main" count="135" uniqueCount="127">
  <si>
    <t>Место для печати</t>
  </si>
  <si>
    <t>Телефон                                _______________________________</t>
  </si>
  <si>
    <t>дата __________________</t>
  </si>
  <si>
    <t xml:space="preserve">Исполнитель                 ______________________  </t>
  </si>
  <si>
    <t>Главный бухгалтер      _____________________</t>
  </si>
  <si>
    <t>Первый руководитель (на период его отсутствия - лицо, его замещающее) _________________</t>
  </si>
  <si>
    <t xml:space="preserve">                 Статья «Доля меньшинства» заполняется при составлении консолидированной финансовой отчетности. </t>
  </si>
  <si>
    <t>Итого капитал и обязательства (стр.35+стр.43):</t>
  </si>
  <si>
    <t xml:space="preserve">Итого капитал: </t>
  </si>
  <si>
    <t>41.2</t>
  </si>
  <si>
    <t xml:space="preserve">     отчетного периода</t>
  </si>
  <si>
    <t>41.1</t>
  </si>
  <si>
    <t xml:space="preserve">     предыдущих лет</t>
  </si>
  <si>
    <t>в том числе:</t>
  </si>
  <si>
    <t xml:space="preserve">Нераспределенная прибыль (непокрытый убыток)          </t>
  </si>
  <si>
    <t>Прочие резервы</t>
  </si>
  <si>
    <t>Резервный капитал</t>
  </si>
  <si>
    <t>Изъятый капитал</t>
  </si>
  <si>
    <t>Премии (дополнительный оплаченный капитал)</t>
  </si>
  <si>
    <t>36.2</t>
  </si>
  <si>
    <t xml:space="preserve">      привилегированные акции </t>
  </si>
  <si>
    <t>36.1</t>
  </si>
  <si>
    <t xml:space="preserve">      простые акции</t>
  </si>
  <si>
    <t>из них:</t>
  </si>
  <si>
    <t>Уставный капитал</t>
  </si>
  <si>
    <t>Собственный капитал</t>
  </si>
  <si>
    <t>Итого обязательства</t>
  </si>
  <si>
    <t>Прочие обязательства</t>
  </si>
  <si>
    <t xml:space="preserve">Отложенное налоговое обязательство </t>
  </si>
  <si>
    <t>Текущее налоговое обязательство</t>
  </si>
  <si>
    <t>Субординированный долг</t>
  </si>
  <si>
    <t>Начисленные расходы по расчетам с акционерами по акциям</t>
  </si>
  <si>
    <t>Резервы</t>
  </si>
  <si>
    <t>Кредиторская задолженность</t>
  </si>
  <si>
    <t>Займы полученные</t>
  </si>
  <si>
    <t>Операция «РЕПО»</t>
  </si>
  <si>
    <t>Выпущенные долговые ценные бумаги</t>
  </si>
  <si>
    <t>Производные инструменты</t>
  </si>
  <si>
    <t xml:space="preserve">Вклады привлеченные </t>
  </si>
  <si>
    <t>Обязательства</t>
  </si>
  <si>
    <t>Итого активы</t>
  </si>
  <si>
    <t>Прочие активы</t>
  </si>
  <si>
    <t>Отложенное налоговое требование</t>
  </si>
  <si>
    <t>Текущее налоговое требование</t>
  </si>
  <si>
    <t>Основные средства (за вычетом амортизации и убытков от обесценения)</t>
  </si>
  <si>
    <t>Нематериальные активы (за вычетом амортизации и убытков от обесценения)</t>
  </si>
  <si>
    <t>Долгосрочные активы (выбывающие группы), предназначенные для продажи</t>
  </si>
  <si>
    <t>Запасы</t>
  </si>
  <si>
    <t>Инвестиции в капитал других юридических лиц и субординированный долг</t>
  </si>
  <si>
    <t>Инвестиционное имущество</t>
  </si>
  <si>
    <t>Займы (микрокредиты) предоставленные (за вычетом резервов на обесценение)</t>
  </si>
  <si>
    <t>Финансовая аренда предоставленная (за вычетом резервов на обесценение)</t>
  </si>
  <si>
    <t>Вклады размещенные (за вычетом резервов на обесценение)</t>
  </si>
  <si>
    <t>Операция «обратное РЕПО»</t>
  </si>
  <si>
    <t>Ценные бумаги, удерживаемые до погашения (за вычетом резервов на обесценение)</t>
  </si>
  <si>
    <t>7.2</t>
  </si>
  <si>
    <t xml:space="preserve">   от инвестиционного дохода (убытка) по пенсионным активам</t>
  </si>
  <si>
    <t>7.1</t>
  </si>
  <si>
    <t xml:space="preserve">   от пенсионных активов</t>
  </si>
  <si>
    <t xml:space="preserve">Комиссионные вознаграждения                                                                                           </t>
  </si>
  <si>
    <t>Дебиторская задолженность</t>
  </si>
  <si>
    <t>Ценные бумаги, имеющиеся в наличии для продажи (за вычетом резервов на обесценение)</t>
  </si>
  <si>
    <t>Ценные бумаги, оцениваемые по справедливой стоимости, изменения которых отражаются в составе прибыли или убытка</t>
  </si>
  <si>
    <t>Аффинированные драгоценные металлы</t>
  </si>
  <si>
    <t>1.2</t>
  </si>
  <si>
    <t>деньги на счетах в банках и организациях, осуществляющих отдельные виды банковских операций</t>
  </si>
  <si>
    <t>1.1</t>
  </si>
  <si>
    <t xml:space="preserve">наличные деньги в кассе </t>
  </si>
  <si>
    <t>Денежные средства и эквиваленты денежных средств</t>
  </si>
  <si>
    <t>Активы</t>
  </si>
  <si>
    <t>На конец предыдущего года</t>
  </si>
  <si>
    <t>На конец отчетного периода</t>
  </si>
  <si>
    <t>Код строки</t>
  </si>
  <si>
    <t>Наименование статьи</t>
  </si>
  <si>
    <t>( в тысячах тенге)</t>
  </si>
  <si>
    <t>по состоянию на «___» «_________________» 20__ года</t>
  </si>
  <si>
    <t>(полное наименование организации)</t>
  </si>
  <si>
    <t>_________________________________________________________</t>
  </si>
  <si>
    <t>Бухгалтерский баланс</t>
  </si>
  <si>
    <t xml:space="preserve">Приложение 10 
к постановлению Правления 
Национального Банка 
Республики Казахстан 
от 27 мая 2013 года № 130
</t>
  </si>
  <si>
    <t>В том числе:</t>
  </si>
  <si>
    <t>Требования по сделке фьючерс</t>
  </si>
  <si>
    <t>4.1</t>
  </si>
  <si>
    <t>Требования по сделке форвард</t>
  </si>
  <si>
    <t>4.2</t>
  </si>
  <si>
    <t>Требования по сделке опцион</t>
  </si>
  <si>
    <t>4.3</t>
  </si>
  <si>
    <t>Требования по сделке своп</t>
  </si>
  <si>
    <t>4.4</t>
  </si>
  <si>
    <t>от оказания брокерских услуг</t>
  </si>
  <si>
    <t>6.1</t>
  </si>
  <si>
    <t>от оказания услуг маркет-мейкера</t>
  </si>
  <si>
    <t>6.2</t>
  </si>
  <si>
    <t>от управления активами</t>
  </si>
  <si>
    <t>6.3</t>
  </si>
  <si>
    <t>от оказания консалтинговых услуг</t>
  </si>
  <si>
    <t>6.4</t>
  </si>
  <si>
    <t xml:space="preserve">от услуг представителя держателей облигаций </t>
  </si>
  <si>
    <t>6.5</t>
  </si>
  <si>
    <t>от услуг андеррайтера</t>
  </si>
  <si>
    <t>6.6</t>
  </si>
  <si>
    <t>Обязательства по сделке фьючерс</t>
  </si>
  <si>
    <t>24.1</t>
  </si>
  <si>
    <t>Обязательства по сделке форвард</t>
  </si>
  <si>
    <t>24.2</t>
  </si>
  <si>
    <t>Обязательства по сделке опцион</t>
  </si>
  <si>
    <t>24.3</t>
  </si>
  <si>
    <t>Обязательства по сделке своп</t>
  </si>
  <si>
    <t>24.4</t>
  </si>
  <si>
    <t xml:space="preserve">за услуги по переводным операциям </t>
  </si>
  <si>
    <t>28.1</t>
  </si>
  <si>
    <t xml:space="preserve">за услуги по клиринговым операциям </t>
  </si>
  <si>
    <t>28.2</t>
  </si>
  <si>
    <t xml:space="preserve">за услуги по кассовым операциям </t>
  </si>
  <si>
    <t>28.3</t>
  </si>
  <si>
    <t xml:space="preserve">за услуги по сейфовым операциям </t>
  </si>
  <si>
    <t>28.4</t>
  </si>
  <si>
    <t xml:space="preserve">за услуги по инкассации банкнот, монет и ценностей </t>
  </si>
  <si>
    <t>28.5</t>
  </si>
  <si>
    <t xml:space="preserve">за услуги по доверительным операциям </t>
  </si>
  <si>
    <t>28.6</t>
  </si>
  <si>
    <t xml:space="preserve">за услуги фондовой биржи </t>
  </si>
  <si>
    <t>28.7</t>
  </si>
  <si>
    <t xml:space="preserve">за услуги по кастодиальному обслуживанию </t>
  </si>
  <si>
    <t>28.8</t>
  </si>
  <si>
    <t>за услуги иных профессиональных участников рынка ценных бумаг</t>
  </si>
  <si>
    <t>28.9</t>
  </si>
</sst>
</file>

<file path=xl/styles.xml><?xml version="1.0" encoding="utf-8"?>
<styleSheet xmlns="http://schemas.openxmlformats.org/spreadsheetml/2006/main">
  <numFmts count="3">
    <numFmt numFmtId="164" formatCode="_-* #,##0.00_р_._-;\-* #,##0.00_р_._-;_-* &quot;-&quot;??_р_._-;_-@_-"/>
    <numFmt numFmtId="165" formatCode="_-* #,##0.0_р_._-;\-* #,##0.0_р_._-;_-* &quot;-&quot;?_р_._-;_-@_-"/>
    <numFmt numFmtId="166" formatCode="#,##0_ ;\-#,##0\ "/>
  </numFmts>
  <fonts count="1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0"/>
      <color indexed="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b/>
      <sz val="14"/>
      <name val="Cambria"/>
      <family val="1"/>
      <charset val="204"/>
      <scheme val="maj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5" fillId="0" borderId="0"/>
    <xf numFmtId="164" fontId="3" fillId="0" borderId="0" applyFont="0" applyFill="0" applyBorder="0" applyAlignment="0" applyProtection="0"/>
    <xf numFmtId="0" fontId="10" fillId="0" borderId="0"/>
    <xf numFmtId="0" fontId="11" fillId="0" borderId="0"/>
  </cellStyleXfs>
  <cellXfs count="52">
    <xf numFmtId="0" fontId="0" fillId="0" borderId="0" xfId="0"/>
    <xf numFmtId="0" fontId="4" fillId="0" borderId="0" xfId="3" applyFont="1" applyFill="1" applyProtection="1">
      <protection locked="0"/>
    </xf>
    <xf numFmtId="49" fontId="4" fillId="0" borderId="0" xfId="4" applyNumberFormat="1" applyFont="1" applyFill="1" applyProtection="1">
      <protection locked="0"/>
    </xf>
    <xf numFmtId="0" fontId="4" fillId="0" borderId="0" xfId="3" applyFont="1" applyFill="1" applyBorder="1" applyAlignment="1" applyProtection="1">
      <protection locked="0"/>
    </xf>
    <xf numFmtId="3" fontId="7" fillId="0" borderId="0" xfId="3" applyNumberFormat="1" applyFont="1" applyFill="1" applyProtection="1">
      <protection locked="0"/>
    </xf>
    <xf numFmtId="3" fontId="4" fillId="0" borderId="0" xfId="3" applyNumberFormat="1" applyFont="1" applyFill="1" applyProtection="1">
      <protection locked="0"/>
    </xf>
    <xf numFmtId="3" fontId="8" fillId="0" borderId="0" xfId="3" applyNumberFormat="1" applyFont="1" applyFill="1" applyProtection="1">
      <protection locked="0"/>
    </xf>
    <xf numFmtId="3" fontId="7" fillId="0" borderId="1" xfId="5" applyNumberFormat="1" applyFont="1" applyFill="1" applyBorder="1" applyProtection="1">
      <protection locked="0"/>
    </xf>
    <xf numFmtId="0" fontId="4" fillId="0" borderId="1" xfId="3" applyFont="1" applyFill="1" applyBorder="1" applyAlignment="1" applyProtection="1">
      <alignment horizontal="center" vertical="center"/>
      <protection locked="0"/>
    </xf>
    <xf numFmtId="0" fontId="7" fillId="0" borderId="1" xfId="3" applyFont="1" applyFill="1" applyBorder="1" applyAlignment="1" applyProtection="1">
      <alignment wrapText="1"/>
    </xf>
    <xf numFmtId="3" fontId="4" fillId="0" borderId="1" xfId="5" applyNumberFormat="1" applyFont="1" applyFill="1" applyBorder="1" applyProtection="1">
      <protection locked="0"/>
    </xf>
    <xf numFmtId="0" fontId="4" fillId="0" borderId="1" xfId="3" applyFont="1" applyFill="1" applyBorder="1" applyAlignment="1" applyProtection="1">
      <alignment wrapText="1"/>
    </xf>
    <xf numFmtId="49" fontId="4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3" applyFont="1" applyFill="1" applyBorder="1" applyAlignment="1" applyProtection="1">
      <alignment horizontal="center" vertical="center" wrapText="1"/>
      <protection locked="0"/>
    </xf>
    <xf numFmtId="0" fontId="4" fillId="0" borderId="1" xfId="3" applyFont="1" applyFill="1" applyBorder="1" applyAlignment="1" applyProtection="1">
      <alignment horizontal="justify" wrapText="1"/>
    </xf>
    <xf numFmtId="0" fontId="7" fillId="0" borderId="0" xfId="3" applyFont="1" applyFill="1" applyProtection="1">
      <protection locked="0"/>
    </xf>
    <xf numFmtId="2" fontId="4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3" applyFont="1" applyFill="1" applyBorder="1" applyAlignment="1" applyProtection="1">
      <alignment horizontal="left" wrapText="1"/>
    </xf>
    <xf numFmtId="0" fontId="4" fillId="0" borderId="1" xfId="3" applyFont="1" applyFill="1" applyBorder="1" applyAlignment="1" applyProtection="1">
      <protection locked="0"/>
    </xf>
    <xf numFmtId="165" fontId="4" fillId="0" borderId="0" xfId="3" applyNumberFormat="1" applyFont="1" applyFill="1" applyProtection="1">
      <protection locked="0"/>
    </xf>
    <xf numFmtId="0" fontId="4" fillId="0" borderId="0" xfId="3" applyFont="1" applyFill="1" applyProtection="1"/>
    <xf numFmtId="0" fontId="4" fillId="0" borderId="0" xfId="3" applyFont="1" applyFill="1" applyAlignment="1" applyProtection="1">
      <alignment horizontal="right"/>
    </xf>
    <xf numFmtId="0" fontId="4" fillId="0" borderId="0" xfId="3" applyFont="1" applyFill="1" applyAlignment="1">
      <alignment horizontal="left"/>
    </xf>
    <xf numFmtId="0" fontId="4" fillId="0" borderId="0" xfId="3" applyFont="1" applyFill="1" applyAlignment="1" applyProtection="1">
      <alignment horizontal="center"/>
      <protection locked="0"/>
    </xf>
    <xf numFmtId="0" fontId="13" fillId="0" borderId="1" xfId="2" applyFont="1" applyFill="1" applyBorder="1" applyAlignment="1" applyProtection="1">
      <alignment horizontal="left"/>
    </xf>
    <xf numFmtId="0" fontId="13" fillId="0" borderId="1" xfId="2" applyFont="1" applyFill="1" applyBorder="1" applyAlignment="1" applyProtection="1">
      <alignment horizontal="center"/>
      <protection locked="0"/>
    </xf>
    <xf numFmtId="3" fontId="13" fillId="0" borderId="1" xfId="2" applyNumberFormat="1" applyFont="1" applyFill="1" applyBorder="1" applyProtection="1">
      <protection locked="0"/>
    </xf>
    <xf numFmtId="0" fontId="4" fillId="0" borderId="1" xfId="3" applyFont="1" applyFill="1" applyBorder="1" applyProtection="1">
      <protection locked="0"/>
    </xf>
    <xf numFmtId="0" fontId="4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7" fillId="4" borderId="1" xfId="3" applyFont="1" applyFill="1" applyBorder="1" applyAlignment="1">
      <alignment horizontal="left"/>
    </xf>
    <xf numFmtId="0" fontId="7" fillId="4" borderId="1" xfId="3" applyFont="1" applyFill="1" applyBorder="1" applyAlignment="1">
      <alignment horizontal="center"/>
    </xf>
    <xf numFmtId="0" fontId="7" fillId="5" borderId="1" xfId="1" applyFont="1" applyFill="1" applyBorder="1" applyAlignment="1" applyProtection="1">
      <alignment horizontal="center" vertical="center" wrapText="1"/>
      <protection locked="0"/>
    </xf>
    <xf numFmtId="0" fontId="7" fillId="5" borderId="1" xfId="1" applyFont="1" applyFill="1" applyBorder="1" applyAlignment="1" applyProtection="1">
      <alignment horizontal="center"/>
      <protection locked="0"/>
    </xf>
    <xf numFmtId="0" fontId="14" fillId="5" borderId="1" xfId="2" applyFont="1" applyFill="1" applyBorder="1" applyAlignment="1" applyProtection="1">
      <alignment horizontal="left" wrapText="1"/>
    </xf>
    <xf numFmtId="0" fontId="13" fillId="5" borderId="1" xfId="2" applyFont="1" applyFill="1" applyBorder="1" applyAlignment="1" applyProtection="1">
      <alignment horizontal="center" vertical="center" wrapText="1"/>
      <protection locked="0"/>
    </xf>
    <xf numFmtId="3" fontId="13" fillId="5" borderId="1" xfId="2" applyNumberFormat="1" applyFont="1" applyFill="1" applyBorder="1" applyProtection="1">
      <protection locked="0"/>
    </xf>
    <xf numFmtId="3" fontId="7" fillId="4" borderId="1" xfId="3" applyNumberFormat="1" applyFont="1" applyFill="1" applyBorder="1" applyAlignment="1">
      <alignment horizontal="center"/>
    </xf>
    <xf numFmtId="0" fontId="4" fillId="0" borderId="1" xfId="3" applyFont="1" applyFill="1" applyBorder="1" applyAlignment="1" applyProtection="1">
      <alignment vertical="center" wrapText="1"/>
    </xf>
    <xf numFmtId="166" fontId="4" fillId="0" borderId="1" xfId="5" applyNumberFormat="1" applyFont="1" applyFill="1" applyBorder="1" applyAlignment="1" applyProtection="1">
      <alignment vertical="center"/>
      <protection locked="0"/>
    </xf>
    <xf numFmtId="0" fontId="4" fillId="0" borderId="0" xfId="3" applyFont="1" applyFill="1" applyAlignment="1" applyProtection="1">
      <alignment vertical="center"/>
      <protection locked="0"/>
    </xf>
    <xf numFmtId="0" fontId="7" fillId="0" borderId="0" xfId="3" applyFont="1" applyFill="1" applyAlignment="1" applyProtection="1">
      <alignment horizontal="center" vertical="center" wrapText="1" shrinkToFit="1"/>
      <protection locked="0"/>
    </xf>
    <xf numFmtId="0" fontId="4" fillId="0" borderId="1" xfId="3" applyFont="1" applyFill="1" applyBorder="1" applyAlignment="1" applyProtection="1">
      <alignment horizontal="justify" vertical="center" wrapText="1"/>
    </xf>
    <xf numFmtId="49" fontId="4" fillId="0" borderId="0" xfId="4" applyNumberFormat="1" applyFont="1" applyFill="1" applyAlignment="1" applyProtection="1">
      <alignment wrapText="1" shrinkToFit="1"/>
      <protection locked="0"/>
    </xf>
    <xf numFmtId="0" fontId="4" fillId="0" borderId="0" xfId="3" applyFont="1" applyFill="1" applyAlignment="1"/>
    <xf numFmtId="0" fontId="7" fillId="0" borderId="0" xfId="3" applyFont="1" applyFill="1" applyAlignment="1" applyProtection="1">
      <alignment horizontal="center"/>
      <protection locked="0"/>
    </xf>
    <xf numFmtId="0" fontId="6" fillId="0" borderId="0" xfId="3" applyFont="1" applyFill="1" applyAlignment="1">
      <alignment horizontal="left"/>
    </xf>
    <xf numFmtId="0" fontId="7" fillId="0" borderId="0" xfId="3" applyFont="1" applyFill="1" applyAlignment="1">
      <alignment horizontal="left"/>
    </xf>
    <xf numFmtId="0" fontId="4" fillId="0" borderId="0" xfId="3" applyFont="1" applyFill="1" applyAlignment="1" applyProtection="1">
      <alignment horizontal="right" wrapText="1"/>
      <protection locked="0"/>
    </xf>
    <xf numFmtId="0" fontId="4" fillId="0" borderId="0" xfId="3" applyFont="1" applyFill="1" applyAlignment="1">
      <alignment horizontal="right" wrapText="1"/>
    </xf>
    <xf numFmtId="0" fontId="12" fillId="0" borderId="0" xfId="3" applyFont="1" applyFill="1" applyAlignment="1" applyProtection="1">
      <alignment horizontal="center"/>
      <protection locked="0"/>
    </xf>
    <xf numFmtId="0" fontId="4" fillId="0" borderId="0" xfId="3" applyFont="1" applyFill="1" applyAlignment="1" applyProtection="1">
      <alignment horizontal="center"/>
      <protection locked="0"/>
    </xf>
    <xf numFmtId="0" fontId="9" fillId="0" borderId="0" xfId="3" applyFont="1" applyFill="1" applyAlignment="1" applyProtection="1">
      <alignment horizontal="center"/>
      <protection locked="0"/>
    </xf>
  </cellXfs>
  <cellStyles count="8">
    <cellStyle name="40% - Акцент1" xfId="2" builtinId="31"/>
    <cellStyle name="Акцент1" xfId="1" builtinId="29"/>
    <cellStyle name="Обычный" xfId="0" builtinId="0"/>
    <cellStyle name="Обычный 2" xfId="3"/>
    <cellStyle name="Обычный 3" xfId="6"/>
    <cellStyle name="Обычный_Приложения к Правилам по ИК_рус" xfId="4"/>
    <cellStyle name="Стиль 1" xfId="7"/>
    <cellStyle name="Финансовый 2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333375</xdr:colOff>
      <xdr:row>0</xdr:row>
      <xdr:rowOff>647700</xdr:rowOff>
    </xdr:to>
    <xdr:sp macro="" textlink="">
      <xdr:nvSpPr>
        <xdr:cNvPr id="2" name="Text Box 1027"/>
        <xdr:cNvSpPr txBox="1">
          <a:spLocks noChangeArrowheads="1"/>
        </xdr:cNvSpPr>
      </xdr:nvSpPr>
      <xdr:spPr bwMode="auto">
        <a:xfrm>
          <a:off x="704850" y="95250"/>
          <a:ext cx="847725" cy="66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Респонденты: Дочерние организации национального управляющего холдинга в сфере агропромышленного комплекса (далее - АПК), организатор торгов, АО "Казпочта",  АО "Центральный депозитарий ценных бумаг"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ход-выход_ф.2"/>
      <sheetName val="Вход-выход_ф.2-Казпочта"/>
      <sheetName val="Вход-выход_Доп.данные_АПК"/>
      <sheetName val="Вход-выход_Пруд_АПК"/>
      <sheetName val="Вход-выход_РА_АПК"/>
      <sheetName val="Вход-выход_УВО_АПК"/>
      <sheetName val="Вход-выход_Пруд.Казпочта"/>
      <sheetName val="Вход-выход_Валют_Казпочта"/>
      <sheetName val="Вход-выход_ОТ_Активы взв."/>
      <sheetName val="Вход-выход_ОТ_УВО"/>
      <sheetName val="Вход-выход_ОТ_ПФИ"/>
      <sheetName val="Вход-выход_ОТ_К2"/>
      <sheetName val="Вход-выход_ОТ_пруд"/>
      <sheetName val="Выход_ОТ_сайт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5">
    <tabColor rgb="FFFFFF00"/>
  </sheetPr>
  <dimension ref="A1:F115"/>
  <sheetViews>
    <sheetView tabSelected="1" topLeftCell="A79" zoomScaleNormal="100" zoomScaleSheetLayoutView="100" workbookViewId="0">
      <selection activeCell="C11" sqref="C11"/>
    </sheetView>
  </sheetViews>
  <sheetFormatPr defaultRowHeight="12.75"/>
  <cols>
    <col min="1" max="1" width="71.28515625" style="1" customWidth="1"/>
    <col min="2" max="2" width="12.140625" style="1" customWidth="1"/>
    <col min="3" max="3" width="16.5703125" style="1" customWidth="1"/>
    <col min="4" max="4" width="17.7109375" style="1" customWidth="1"/>
    <col min="5" max="5" width="19" style="1" customWidth="1"/>
    <col min="6" max="6" width="13.5703125" style="1" customWidth="1"/>
    <col min="7" max="16384" width="9.140625" style="1"/>
  </cols>
  <sheetData>
    <row r="1" spans="1:5" ht="86.25" customHeight="1">
      <c r="C1" s="47" t="s">
        <v>79</v>
      </c>
      <c r="D1" s="48"/>
    </row>
    <row r="2" spans="1:5" ht="21" customHeight="1">
      <c r="A2" s="49" t="s">
        <v>78</v>
      </c>
      <c r="B2" s="49"/>
      <c r="C2" s="49"/>
      <c r="D2" s="49"/>
    </row>
    <row r="3" spans="1:5">
      <c r="A3" s="50" t="s">
        <v>77</v>
      </c>
      <c r="B3" s="50"/>
      <c r="C3" s="50"/>
      <c r="D3" s="50"/>
    </row>
    <row r="4" spans="1:5" ht="22.5" customHeight="1">
      <c r="A4" s="51" t="s">
        <v>76</v>
      </c>
      <c r="B4" s="51"/>
      <c r="C4" s="51"/>
      <c r="D4" s="51"/>
    </row>
    <row r="5" spans="1:5" ht="21" customHeight="1">
      <c r="A5" s="44" t="s">
        <v>75</v>
      </c>
      <c r="B5" s="44"/>
      <c r="C5" s="44"/>
      <c r="D5" s="44"/>
    </row>
    <row r="6" spans="1:5">
      <c r="A6" s="23"/>
      <c r="B6" s="23"/>
      <c r="C6" s="23"/>
      <c r="D6" s="23"/>
    </row>
    <row r="7" spans="1:5" s="20" customFormat="1">
      <c r="D7" s="21" t="s">
        <v>74</v>
      </c>
    </row>
    <row r="8" spans="1:5" ht="33" customHeight="1">
      <c r="A8" s="31" t="s">
        <v>73</v>
      </c>
      <c r="B8" s="31" t="s">
        <v>72</v>
      </c>
      <c r="C8" s="31" t="s">
        <v>71</v>
      </c>
      <c r="D8" s="31" t="s">
        <v>70</v>
      </c>
    </row>
    <row r="9" spans="1:5">
      <c r="A9" s="32">
        <v>1</v>
      </c>
      <c r="B9" s="32">
        <v>2</v>
      </c>
      <c r="C9" s="32">
        <v>3</v>
      </c>
      <c r="D9" s="32">
        <v>4</v>
      </c>
    </row>
    <row r="10" spans="1:5">
      <c r="A10" s="24" t="s">
        <v>69</v>
      </c>
      <c r="B10" s="25"/>
      <c r="C10" s="26"/>
      <c r="D10" s="26"/>
    </row>
    <row r="11" spans="1:5">
      <c r="A11" s="17" t="s">
        <v>68</v>
      </c>
      <c r="B11" s="13">
        <v>1</v>
      </c>
      <c r="C11" s="10"/>
      <c r="D11" s="10"/>
    </row>
    <row r="12" spans="1:5">
      <c r="A12" s="17" t="s">
        <v>23</v>
      </c>
      <c r="B12" s="13"/>
      <c r="C12" s="10"/>
      <c r="D12" s="10"/>
    </row>
    <row r="13" spans="1:5">
      <c r="A13" s="17" t="s">
        <v>67</v>
      </c>
      <c r="B13" s="12" t="s">
        <v>66</v>
      </c>
      <c r="C13" s="10"/>
      <c r="D13" s="10"/>
    </row>
    <row r="14" spans="1:5" ht="25.5">
      <c r="A14" s="17" t="s">
        <v>65</v>
      </c>
      <c r="B14" s="12" t="s">
        <v>64</v>
      </c>
      <c r="C14" s="10"/>
      <c r="D14" s="10"/>
    </row>
    <row r="15" spans="1:5">
      <c r="A15" s="11" t="s">
        <v>63</v>
      </c>
      <c r="B15" s="13">
        <v>2</v>
      </c>
      <c r="C15" s="10"/>
      <c r="D15" s="10"/>
    </row>
    <row r="16" spans="1:5" ht="25.5">
      <c r="A16" s="11" t="s">
        <v>62</v>
      </c>
      <c r="B16" s="13">
        <v>3</v>
      </c>
      <c r="C16" s="10"/>
      <c r="D16" s="10"/>
      <c r="E16" s="15"/>
    </row>
    <row r="17" spans="1:5">
      <c r="A17" s="11" t="s">
        <v>37</v>
      </c>
      <c r="B17" s="28">
        <v>4</v>
      </c>
      <c r="C17" s="10">
        <f>SUM(C19:C22)</f>
        <v>0</v>
      </c>
      <c r="D17" s="10">
        <f>SUM(D19:D22)</f>
        <v>0</v>
      </c>
    </row>
    <row r="18" spans="1:5" s="39" customFormat="1">
      <c r="A18" s="37" t="s">
        <v>80</v>
      </c>
      <c r="B18" s="12"/>
      <c r="C18" s="38"/>
      <c r="D18" s="38"/>
    </row>
    <row r="19" spans="1:5" s="39" customFormat="1">
      <c r="A19" s="37" t="s">
        <v>81</v>
      </c>
      <c r="B19" s="12" t="s">
        <v>82</v>
      </c>
      <c r="C19" s="38"/>
      <c r="D19" s="38"/>
    </row>
    <row r="20" spans="1:5" s="39" customFormat="1">
      <c r="A20" s="37" t="s">
        <v>83</v>
      </c>
      <c r="B20" s="12" t="s">
        <v>84</v>
      </c>
      <c r="C20" s="38"/>
      <c r="D20" s="38"/>
    </row>
    <row r="21" spans="1:5" s="39" customFormat="1">
      <c r="A21" s="37" t="s">
        <v>85</v>
      </c>
      <c r="B21" s="12" t="s">
        <v>86</v>
      </c>
      <c r="C21" s="38"/>
      <c r="D21" s="38"/>
    </row>
    <row r="22" spans="1:5" s="39" customFormat="1">
      <c r="A22" s="37" t="s">
        <v>87</v>
      </c>
      <c r="B22" s="12" t="s">
        <v>88</v>
      </c>
      <c r="C22" s="38"/>
      <c r="D22" s="38"/>
    </row>
    <row r="23" spans="1:5" ht="25.5">
      <c r="A23" s="11" t="s">
        <v>61</v>
      </c>
      <c r="B23" s="13">
        <v>5</v>
      </c>
      <c r="C23" s="10"/>
      <c r="D23" s="10"/>
      <c r="E23" s="15"/>
    </row>
    <row r="24" spans="1:5">
      <c r="A24" s="11" t="s">
        <v>60</v>
      </c>
      <c r="B24" s="13">
        <v>6</v>
      </c>
      <c r="C24" s="10">
        <f>SUM(C26:C31)</f>
        <v>0</v>
      </c>
      <c r="D24" s="10">
        <f>SUM(D26:D31)</f>
        <v>0</v>
      </c>
    </row>
    <row r="25" spans="1:5" s="39" customFormat="1">
      <c r="A25" s="37" t="s">
        <v>13</v>
      </c>
      <c r="B25" s="13"/>
      <c r="C25" s="38"/>
      <c r="D25" s="38"/>
      <c r="E25" s="40"/>
    </row>
    <row r="26" spans="1:5" s="39" customFormat="1">
      <c r="A26" s="37" t="s">
        <v>89</v>
      </c>
      <c r="B26" s="12" t="s">
        <v>90</v>
      </c>
      <c r="C26" s="38"/>
      <c r="D26" s="38"/>
      <c r="E26" s="40"/>
    </row>
    <row r="27" spans="1:5" s="39" customFormat="1">
      <c r="A27" s="37" t="s">
        <v>91</v>
      </c>
      <c r="B27" s="12" t="s">
        <v>92</v>
      </c>
      <c r="C27" s="38"/>
      <c r="D27" s="38"/>
      <c r="E27" s="40"/>
    </row>
    <row r="28" spans="1:5" s="39" customFormat="1">
      <c r="A28" s="37" t="s">
        <v>93</v>
      </c>
      <c r="B28" s="12" t="s">
        <v>94</v>
      </c>
      <c r="C28" s="38"/>
      <c r="D28" s="38"/>
      <c r="E28" s="40"/>
    </row>
    <row r="29" spans="1:5" s="39" customFormat="1">
      <c r="A29" s="37" t="s">
        <v>95</v>
      </c>
      <c r="B29" s="12" t="s">
        <v>96</v>
      </c>
      <c r="C29" s="38"/>
      <c r="D29" s="38"/>
      <c r="E29" s="40"/>
    </row>
    <row r="30" spans="1:5" s="39" customFormat="1">
      <c r="A30" s="37" t="s">
        <v>97</v>
      </c>
      <c r="B30" s="12" t="s">
        <v>98</v>
      </c>
      <c r="C30" s="38"/>
      <c r="D30" s="38"/>
      <c r="E30" s="40"/>
    </row>
    <row r="31" spans="1:5" s="39" customFormat="1">
      <c r="A31" s="37" t="s">
        <v>99</v>
      </c>
      <c r="B31" s="12" t="s">
        <v>100</v>
      </c>
      <c r="C31" s="38"/>
      <c r="D31" s="38"/>
      <c r="E31" s="40"/>
    </row>
    <row r="32" spans="1:5">
      <c r="A32" s="11" t="s">
        <v>59</v>
      </c>
      <c r="B32" s="13">
        <v>7</v>
      </c>
      <c r="C32" s="10"/>
      <c r="D32" s="10"/>
    </row>
    <row r="33" spans="1:5">
      <c r="A33" s="11" t="s">
        <v>23</v>
      </c>
      <c r="B33" s="13"/>
      <c r="C33" s="10"/>
      <c r="D33" s="10"/>
    </row>
    <row r="34" spans="1:5">
      <c r="A34" s="11" t="s">
        <v>58</v>
      </c>
      <c r="B34" s="12" t="s">
        <v>57</v>
      </c>
      <c r="C34" s="10"/>
      <c r="D34" s="10"/>
    </row>
    <row r="35" spans="1:5">
      <c r="A35" s="11" t="s">
        <v>56</v>
      </c>
      <c r="B35" s="12" t="s">
        <v>55</v>
      </c>
      <c r="C35" s="10"/>
      <c r="D35" s="10"/>
    </row>
    <row r="36" spans="1:5" ht="16.5" customHeight="1">
      <c r="A36" s="11" t="s">
        <v>54</v>
      </c>
      <c r="B36" s="28">
        <v>8</v>
      </c>
      <c r="C36" s="10"/>
      <c r="D36" s="10"/>
      <c r="E36" s="15"/>
    </row>
    <row r="37" spans="1:5" ht="14.25" customHeight="1">
      <c r="A37" s="11" t="s">
        <v>53</v>
      </c>
      <c r="B37" s="13">
        <v>9</v>
      </c>
      <c r="C37" s="10"/>
      <c r="D37" s="10"/>
      <c r="E37" s="15"/>
    </row>
    <row r="38" spans="1:5" ht="14.25" customHeight="1">
      <c r="A38" s="11" t="s">
        <v>52</v>
      </c>
      <c r="B38" s="13">
        <v>10</v>
      </c>
      <c r="C38" s="10"/>
      <c r="D38" s="10"/>
      <c r="E38" s="15"/>
    </row>
    <row r="39" spans="1:5">
      <c r="A39" s="11" t="s">
        <v>51</v>
      </c>
      <c r="B39" s="13">
        <v>11</v>
      </c>
      <c r="C39" s="10"/>
      <c r="D39" s="10"/>
    </row>
    <row r="40" spans="1:5">
      <c r="A40" s="11" t="s">
        <v>50</v>
      </c>
      <c r="B40" s="13">
        <v>12</v>
      </c>
      <c r="C40" s="10"/>
      <c r="D40" s="10"/>
      <c r="E40" s="19"/>
    </row>
    <row r="41" spans="1:5">
      <c r="A41" s="11" t="s">
        <v>49</v>
      </c>
      <c r="B41" s="13">
        <v>13</v>
      </c>
      <c r="C41" s="10"/>
      <c r="D41" s="10"/>
    </row>
    <row r="42" spans="1:5" ht="19.5" customHeight="1">
      <c r="A42" s="11" t="s">
        <v>48</v>
      </c>
      <c r="B42" s="13">
        <v>14</v>
      </c>
      <c r="C42" s="10"/>
      <c r="D42" s="10"/>
      <c r="E42" s="15"/>
    </row>
    <row r="43" spans="1:5">
      <c r="A43" s="11" t="s">
        <v>47</v>
      </c>
      <c r="B43" s="13">
        <v>15</v>
      </c>
      <c r="C43" s="10"/>
      <c r="D43" s="10"/>
    </row>
    <row r="44" spans="1:5" ht="19.5" customHeight="1">
      <c r="A44" s="11" t="s">
        <v>46</v>
      </c>
      <c r="B44" s="13">
        <v>16</v>
      </c>
      <c r="C44" s="10"/>
      <c r="D44" s="10"/>
    </row>
    <row r="45" spans="1:5" ht="18" customHeight="1">
      <c r="A45" s="11" t="s">
        <v>45</v>
      </c>
      <c r="B45" s="13">
        <v>17</v>
      </c>
      <c r="C45" s="10"/>
      <c r="D45" s="10"/>
    </row>
    <row r="46" spans="1:5" ht="15.75" customHeight="1">
      <c r="A46" s="18" t="s">
        <v>44</v>
      </c>
      <c r="B46" s="13">
        <v>18</v>
      </c>
      <c r="C46" s="10"/>
      <c r="D46" s="10"/>
    </row>
    <row r="47" spans="1:5" ht="16.5" customHeight="1">
      <c r="A47" s="11" t="s">
        <v>43</v>
      </c>
      <c r="B47" s="13">
        <v>19</v>
      </c>
      <c r="C47" s="10"/>
      <c r="D47" s="10"/>
    </row>
    <row r="48" spans="1:5" ht="18.75" customHeight="1">
      <c r="A48" s="11" t="s">
        <v>42</v>
      </c>
      <c r="B48" s="13">
        <v>20</v>
      </c>
      <c r="C48" s="10"/>
      <c r="D48" s="10"/>
    </row>
    <row r="49" spans="1:5">
      <c r="A49" s="11" t="s">
        <v>41</v>
      </c>
      <c r="B49" s="13">
        <v>21</v>
      </c>
      <c r="C49" s="10"/>
      <c r="D49" s="10"/>
    </row>
    <row r="50" spans="1:5">
      <c r="A50" s="11"/>
      <c r="B50" s="13"/>
      <c r="C50" s="10"/>
      <c r="D50" s="10"/>
    </row>
    <row r="51" spans="1:5">
      <c r="A51" s="29" t="s">
        <v>40</v>
      </c>
      <c r="B51" s="30">
        <v>22</v>
      </c>
      <c r="C51" s="30">
        <f>C11+C15+C16+C17+C23+C24+C32+C36+C37+C38+C39+C40+C41+C42+C43+C44+C45+C46+C47+C48+C49</f>
        <v>0</v>
      </c>
      <c r="D51" s="30">
        <f>D11+D15+D16+D17+D23+D24+D32+D36+D37+D38+D39+D40+D41+D42+D43+D44+D45+D46+D47+D48+D49</f>
        <v>0</v>
      </c>
      <c r="E51" s="5"/>
    </row>
    <row r="52" spans="1:5">
      <c r="A52" s="11"/>
      <c r="B52" s="13"/>
      <c r="C52" s="10"/>
      <c r="D52" s="10"/>
      <c r="E52" s="5"/>
    </row>
    <row r="53" spans="1:5">
      <c r="A53" s="33" t="s">
        <v>39</v>
      </c>
      <c r="B53" s="34"/>
      <c r="C53" s="35"/>
      <c r="D53" s="35"/>
    </row>
    <row r="54" spans="1:5">
      <c r="A54" s="14" t="s">
        <v>38</v>
      </c>
      <c r="B54" s="13">
        <v>23</v>
      </c>
      <c r="C54" s="10"/>
      <c r="D54" s="10"/>
    </row>
    <row r="55" spans="1:5">
      <c r="A55" s="11" t="s">
        <v>37</v>
      </c>
      <c r="B55" s="13">
        <v>24</v>
      </c>
      <c r="C55" s="10">
        <f>SUM(C57:C60)</f>
        <v>0</v>
      </c>
      <c r="D55" s="10">
        <f>SUM(D57:D60)</f>
        <v>0</v>
      </c>
    </row>
    <row r="56" spans="1:5" s="39" customFormat="1">
      <c r="A56" s="37" t="s">
        <v>80</v>
      </c>
      <c r="B56" s="13"/>
      <c r="C56" s="38"/>
      <c r="D56" s="38"/>
    </row>
    <row r="57" spans="1:5" s="39" customFormat="1">
      <c r="A57" s="37" t="s">
        <v>101</v>
      </c>
      <c r="B57" s="12" t="s">
        <v>102</v>
      </c>
      <c r="C57" s="38"/>
      <c r="D57" s="38"/>
    </row>
    <row r="58" spans="1:5" s="39" customFormat="1">
      <c r="A58" s="37" t="s">
        <v>103</v>
      </c>
      <c r="B58" s="12" t="s">
        <v>104</v>
      </c>
      <c r="C58" s="38"/>
      <c r="D58" s="38"/>
    </row>
    <row r="59" spans="1:5" s="39" customFormat="1">
      <c r="A59" s="37" t="s">
        <v>105</v>
      </c>
      <c r="B59" s="12" t="s">
        <v>106</v>
      </c>
      <c r="C59" s="38"/>
      <c r="D59" s="38"/>
    </row>
    <row r="60" spans="1:5" s="39" customFormat="1">
      <c r="A60" s="37" t="s">
        <v>107</v>
      </c>
      <c r="B60" s="12" t="s">
        <v>108</v>
      </c>
      <c r="C60" s="38"/>
      <c r="D60" s="38"/>
    </row>
    <row r="61" spans="1:5">
      <c r="A61" s="14" t="s">
        <v>36</v>
      </c>
      <c r="B61" s="13">
        <v>25</v>
      </c>
      <c r="C61" s="10"/>
      <c r="D61" s="10"/>
    </row>
    <row r="62" spans="1:5">
      <c r="A62" s="11" t="s">
        <v>35</v>
      </c>
      <c r="B62" s="13">
        <v>26</v>
      </c>
      <c r="C62" s="10"/>
      <c r="D62" s="10"/>
    </row>
    <row r="63" spans="1:5">
      <c r="A63" s="14" t="s">
        <v>34</v>
      </c>
      <c r="B63" s="13">
        <v>27</v>
      </c>
      <c r="C63" s="10"/>
      <c r="D63" s="10"/>
    </row>
    <row r="64" spans="1:5">
      <c r="A64" s="14" t="s">
        <v>33</v>
      </c>
      <c r="B64" s="13">
        <v>28</v>
      </c>
      <c r="C64" s="10">
        <f>SUM(C66:C74)</f>
        <v>0</v>
      </c>
      <c r="D64" s="10">
        <f>SUM(D66:D74)</f>
        <v>0</v>
      </c>
    </row>
    <row r="65" spans="1:5" s="39" customFormat="1">
      <c r="A65" s="41" t="s">
        <v>13</v>
      </c>
      <c r="B65" s="13"/>
      <c r="C65" s="38"/>
      <c r="D65" s="38"/>
    </row>
    <row r="66" spans="1:5" s="39" customFormat="1">
      <c r="A66" s="41" t="s">
        <v>109</v>
      </c>
      <c r="B66" s="12" t="s">
        <v>110</v>
      </c>
      <c r="C66" s="38"/>
      <c r="D66" s="38"/>
    </row>
    <row r="67" spans="1:5" s="39" customFormat="1">
      <c r="A67" s="41" t="s">
        <v>111</v>
      </c>
      <c r="B67" s="12" t="s">
        <v>112</v>
      </c>
      <c r="C67" s="38"/>
      <c r="D67" s="38"/>
    </row>
    <row r="68" spans="1:5" s="39" customFormat="1">
      <c r="A68" s="41" t="s">
        <v>113</v>
      </c>
      <c r="B68" s="12" t="s">
        <v>114</v>
      </c>
      <c r="C68" s="38"/>
      <c r="D68" s="38"/>
    </row>
    <row r="69" spans="1:5" s="39" customFormat="1">
      <c r="A69" s="41" t="s">
        <v>115</v>
      </c>
      <c r="B69" s="12" t="s">
        <v>116</v>
      </c>
      <c r="C69" s="38"/>
      <c r="D69" s="38"/>
    </row>
    <row r="70" spans="1:5" s="39" customFormat="1">
      <c r="A70" s="41" t="s">
        <v>117</v>
      </c>
      <c r="B70" s="12" t="s">
        <v>118</v>
      </c>
      <c r="C70" s="38"/>
      <c r="D70" s="38"/>
    </row>
    <row r="71" spans="1:5" s="39" customFormat="1">
      <c r="A71" s="41" t="s">
        <v>119</v>
      </c>
      <c r="B71" s="12" t="s">
        <v>120</v>
      </c>
      <c r="C71" s="38"/>
      <c r="D71" s="38"/>
    </row>
    <row r="72" spans="1:5" s="39" customFormat="1">
      <c r="A72" s="41" t="s">
        <v>121</v>
      </c>
      <c r="B72" s="12" t="s">
        <v>122</v>
      </c>
      <c r="C72" s="38"/>
      <c r="D72" s="38"/>
    </row>
    <row r="73" spans="1:5" s="39" customFormat="1">
      <c r="A73" s="41" t="s">
        <v>123</v>
      </c>
      <c r="B73" s="12" t="s">
        <v>124</v>
      </c>
      <c r="C73" s="38"/>
      <c r="D73" s="38"/>
    </row>
    <row r="74" spans="1:5" s="39" customFormat="1">
      <c r="A74" s="41" t="s">
        <v>125</v>
      </c>
      <c r="B74" s="12" t="s">
        <v>126</v>
      </c>
      <c r="C74" s="38"/>
      <c r="D74" s="38"/>
    </row>
    <row r="75" spans="1:5">
      <c r="A75" s="17" t="s">
        <v>32</v>
      </c>
      <c r="B75" s="13">
        <v>29</v>
      </c>
      <c r="C75" s="10"/>
      <c r="D75" s="10"/>
    </row>
    <row r="76" spans="1:5">
      <c r="A76" s="17" t="s">
        <v>31</v>
      </c>
      <c r="B76" s="13">
        <v>30</v>
      </c>
      <c r="C76" s="10"/>
      <c r="D76" s="10"/>
    </row>
    <row r="77" spans="1:5">
      <c r="A77" s="17" t="s">
        <v>30</v>
      </c>
      <c r="B77" s="13">
        <v>31</v>
      </c>
      <c r="C77" s="10"/>
      <c r="D77" s="10"/>
    </row>
    <row r="78" spans="1:5">
      <c r="A78" s="11" t="s">
        <v>29</v>
      </c>
      <c r="B78" s="28">
        <v>32</v>
      </c>
      <c r="C78" s="10"/>
      <c r="D78" s="10"/>
    </row>
    <row r="79" spans="1:5">
      <c r="A79" s="11" t="s">
        <v>28</v>
      </c>
      <c r="B79" s="28">
        <v>33</v>
      </c>
      <c r="C79" s="10"/>
      <c r="D79" s="10"/>
    </row>
    <row r="80" spans="1:5">
      <c r="A80" s="11" t="s">
        <v>27</v>
      </c>
      <c r="B80" s="28">
        <v>34</v>
      </c>
      <c r="C80" s="10"/>
      <c r="D80" s="10"/>
      <c r="E80" s="5"/>
    </row>
    <row r="81" spans="1:6">
      <c r="A81" s="11"/>
      <c r="B81" s="16"/>
      <c r="C81" s="10"/>
      <c r="D81" s="10"/>
      <c r="E81" s="5"/>
      <c r="F81" s="15"/>
    </row>
    <row r="82" spans="1:6">
      <c r="A82" s="29" t="s">
        <v>26</v>
      </c>
      <c r="B82" s="30">
        <v>35</v>
      </c>
      <c r="C82" s="30">
        <f>C54+C55+C61+C62+C63+C64+C75+C76+C77+C78+C79+C80</f>
        <v>0</v>
      </c>
      <c r="D82" s="30">
        <f>D54+D55+D61+D62+D63+D64+D75+D76+D77+D78+D79+D80</f>
        <v>0</v>
      </c>
    </row>
    <row r="83" spans="1:6">
      <c r="A83" s="9"/>
      <c r="B83" s="13"/>
      <c r="C83" s="10"/>
      <c r="D83" s="10"/>
    </row>
    <row r="84" spans="1:6">
      <c r="A84" s="9" t="s">
        <v>25</v>
      </c>
      <c r="B84" s="13"/>
      <c r="C84" s="10"/>
      <c r="D84" s="10"/>
    </row>
    <row r="85" spans="1:6">
      <c r="A85" s="11" t="s">
        <v>24</v>
      </c>
      <c r="B85" s="13">
        <v>36</v>
      </c>
      <c r="C85" s="10"/>
      <c r="D85" s="10"/>
    </row>
    <row r="86" spans="1:6">
      <c r="A86" s="11" t="s">
        <v>23</v>
      </c>
      <c r="B86" s="13"/>
      <c r="C86" s="10"/>
      <c r="D86" s="10"/>
    </row>
    <row r="87" spans="1:6">
      <c r="A87" s="14" t="s">
        <v>22</v>
      </c>
      <c r="B87" s="12" t="s">
        <v>21</v>
      </c>
      <c r="C87" s="10"/>
      <c r="D87" s="10"/>
    </row>
    <row r="88" spans="1:6">
      <c r="A88" s="11" t="s">
        <v>20</v>
      </c>
      <c r="B88" s="12" t="s">
        <v>19</v>
      </c>
      <c r="C88" s="10"/>
      <c r="D88" s="10"/>
    </row>
    <row r="89" spans="1:6">
      <c r="A89" s="11" t="s">
        <v>18</v>
      </c>
      <c r="B89" s="13">
        <v>37</v>
      </c>
      <c r="C89" s="10"/>
      <c r="D89" s="10"/>
    </row>
    <row r="90" spans="1:6">
      <c r="A90" s="11" t="s">
        <v>17</v>
      </c>
      <c r="B90" s="13">
        <v>38</v>
      </c>
      <c r="C90" s="10"/>
      <c r="D90" s="10"/>
    </row>
    <row r="91" spans="1:6">
      <c r="A91" s="11" t="s">
        <v>16</v>
      </c>
      <c r="B91" s="13">
        <v>39</v>
      </c>
      <c r="C91" s="10"/>
      <c r="D91" s="10"/>
    </row>
    <row r="92" spans="1:6">
      <c r="A92" s="11" t="s">
        <v>15</v>
      </c>
      <c r="B92" s="13">
        <v>40</v>
      </c>
      <c r="C92" s="10"/>
      <c r="D92" s="10"/>
    </row>
    <row r="93" spans="1:6">
      <c r="A93" s="11" t="s">
        <v>14</v>
      </c>
      <c r="B93" s="8">
        <v>41</v>
      </c>
      <c r="C93" s="10">
        <f>C95+C96</f>
        <v>0</v>
      </c>
      <c r="D93" s="10">
        <f>D95+D96</f>
        <v>0</v>
      </c>
    </row>
    <row r="94" spans="1:6">
      <c r="A94" s="11" t="s">
        <v>13</v>
      </c>
      <c r="B94" s="8"/>
      <c r="C94" s="10"/>
      <c r="D94" s="10"/>
    </row>
    <row r="95" spans="1:6" ht="12.75" customHeight="1">
      <c r="A95" s="27" t="s">
        <v>12</v>
      </c>
      <c r="B95" s="12" t="s">
        <v>11</v>
      </c>
      <c r="C95" s="10"/>
      <c r="D95" s="10"/>
    </row>
    <row r="96" spans="1:6">
      <c r="A96" s="11" t="s">
        <v>10</v>
      </c>
      <c r="B96" s="12" t="s">
        <v>9</v>
      </c>
      <c r="C96" s="10"/>
      <c r="D96" s="10"/>
      <c r="E96" s="4"/>
    </row>
    <row r="97" spans="1:5" ht="15">
      <c r="A97" s="11"/>
      <c r="B97" s="8"/>
      <c r="C97" s="10"/>
      <c r="D97" s="10"/>
      <c r="E97" s="6"/>
    </row>
    <row r="98" spans="1:5">
      <c r="A98" s="29" t="s">
        <v>8</v>
      </c>
      <c r="B98" s="30">
        <v>44</v>
      </c>
      <c r="C98" s="36">
        <f>C85+C89-C90+C91+C92+C93</f>
        <v>0</v>
      </c>
      <c r="D98" s="36">
        <f>D85+D89-D90+D91+D92+D93</f>
        <v>0</v>
      </c>
      <c r="E98" s="5"/>
    </row>
    <row r="99" spans="1:5" ht="15">
      <c r="A99" s="9"/>
      <c r="B99" s="8"/>
      <c r="C99" s="7"/>
      <c r="D99" s="7"/>
      <c r="E99" s="6"/>
    </row>
    <row r="100" spans="1:5">
      <c r="A100" s="29" t="s">
        <v>7</v>
      </c>
      <c r="B100" s="30">
        <v>45</v>
      </c>
      <c r="C100" s="30">
        <f>C82+C98</f>
        <v>0</v>
      </c>
      <c r="D100" s="30">
        <f>D82+D98</f>
        <v>0</v>
      </c>
      <c r="E100" s="5"/>
    </row>
    <row r="101" spans="1:5">
      <c r="C101" s="4"/>
      <c r="D101" s="4"/>
    </row>
    <row r="102" spans="1:5">
      <c r="A102" s="45"/>
      <c r="B102" s="45"/>
      <c r="C102" s="45"/>
      <c r="D102" s="45"/>
    </row>
    <row r="103" spans="1:5">
      <c r="A103" s="46" t="s">
        <v>6</v>
      </c>
      <c r="B103" s="46"/>
      <c r="C103" s="46"/>
      <c r="D103" s="46"/>
    </row>
    <row r="104" spans="1:5">
      <c r="A104" s="22"/>
      <c r="B104" s="22"/>
      <c r="C104" s="22"/>
      <c r="D104" s="22"/>
    </row>
    <row r="105" spans="1:5">
      <c r="A105" s="2"/>
    </row>
    <row r="106" spans="1:5" ht="48" customHeight="1">
      <c r="A106" s="42" t="s">
        <v>5</v>
      </c>
      <c r="B106" s="43"/>
      <c r="D106" s="1" t="s">
        <v>2</v>
      </c>
    </row>
    <row r="107" spans="1:5">
      <c r="A107" s="2"/>
    </row>
    <row r="108" spans="1:5">
      <c r="A108" s="3" t="s">
        <v>4</v>
      </c>
      <c r="D108" s="1" t="s">
        <v>2</v>
      </c>
    </row>
    <row r="109" spans="1:5">
      <c r="A109" s="2"/>
    </row>
    <row r="110" spans="1:5">
      <c r="A110" s="2" t="s">
        <v>3</v>
      </c>
      <c r="D110" s="1" t="s">
        <v>2</v>
      </c>
    </row>
    <row r="111" spans="1:5">
      <c r="A111" s="2"/>
    </row>
    <row r="112" spans="1:5">
      <c r="A112" s="1" t="s">
        <v>1</v>
      </c>
    </row>
    <row r="113" spans="1:1">
      <c r="A113" s="2" t="s">
        <v>0</v>
      </c>
    </row>
    <row r="114" spans="1:1">
      <c r="A114" s="2"/>
    </row>
    <row r="115" spans="1:1">
      <c r="A115" s="2"/>
    </row>
  </sheetData>
  <mergeCells count="8">
    <mergeCell ref="A106:B106"/>
    <mergeCell ref="A5:D5"/>
    <mergeCell ref="A102:D102"/>
    <mergeCell ref="A103:D103"/>
    <mergeCell ref="C1:D1"/>
    <mergeCell ref="A2:D2"/>
    <mergeCell ref="A3:D3"/>
    <mergeCell ref="A4:D4"/>
  </mergeCells>
  <pageMargins left="0.74803149606299213" right="0.74803149606299213" top="0.98425196850393704" bottom="0.98425196850393704" header="0.51181102362204722" footer="0.51181102362204722"/>
  <pageSetup paperSize="8" scale="40" orientation="portrait" r:id="rId1"/>
  <headerFooter alignWithMargins="0"/>
  <ignoredErrors>
    <ignoredError sqref="C93:D93 C100:D100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Ф1 АПК ОО Казпочта ЦДЦБ</vt:lpstr>
      <vt:lpstr>'Ф1 АПК ОО Казпочта ЦДЦБ'!Область_печати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Марат Мадыбаев</cp:lastModifiedBy>
  <dcterms:created xsi:type="dcterms:W3CDTF">2015-02-03T03:25:10Z</dcterms:created>
  <dcterms:modified xsi:type="dcterms:W3CDTF">2015-03-30T07:30:57Z</dcterms:modified>
</cp:coreProperties>
</file>