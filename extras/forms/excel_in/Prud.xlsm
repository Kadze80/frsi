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20" yWindow="375" windowWidth="15600" windowHeight="10515"/>
  </bookViews>
  <sheets>
    <sheet name="Пруд" sheetId="1" r:id="rId1"/>
  </sheets>
  <calcPr calcId="125725"/>
</workbook>
</file>

<file path=xl/calcChain.xml><?xml version="1.0" encoding="utf-8"?>
<calcChain xmlns="http://schemas.openxmlformats.org/spreadsheetml/2006/main">
  <c r="E48" i="1"/>
  <c r="E46"/>
  <c r="E44"/>
  <c r="E42"/>
  <c r="E37"/>
  <c r="E32"/>
  <c r="E39"/>
  <c r="E34"/>
  <c r="E33"/>
</calcChain>
</file>

<file path=xl/sharedStrings.xml><?xml version="1.0" encoding="utf-8"?>
<sst xmlns="http://schemas.openxmlformats.org/spreadsheetml/2006/main" count="110" uniqueCount="71">
  <si>
    <t xml:space="preserve">Приложение 5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
</t>
  </si>
  <si>
    <t>Отчет о выполнении пруденциальных нормативов</t>
  </si>
  <si>
    <t>по состоянию на «___» «_________________» 20__ года</t>
  </si>
  <si>
    <t>__________________________________________________________________</t>
  </si>
  <si>
    <t xml:space="preserve"> (наименование организации)</t>
  </si>
  <si>
    <t>(в тысячах тенге)</t>
  </si>
  <si>
    <t>№</t>
  </si>
  <si>
    <t>Наименование</t>
  </si>
  <si>
    <t>Сумма</t>
  </si>
  <si>
    <t>Уставной капитал, за минусом собственных выкупленных акции</t>
  </si>
  <si>
    <t>1-1</t>
  </si>
  <si>
    <t>Оплаченный уставный капитал, в части простых акций, за минусом собственных выкупленных простых акций</t>
  </si>
  <si>
    <t>1-2</t>
  </si>
  <si>
    <t>Оплаченный уставный капитал, в части привилегированных акций, за минусом собственных выкупленных привилегированных акций</t>
  </si>
  <si>
    <t>Дополнительный капитал</t>
  </si>
  <si>
    <t>Нераспределенный чистый доход прошлых лет (убытки прошлых лет)</t>
  </si>
  <si>
    <t>Фонды, резервы, сформированные за счет дохода прошлых лет</t>
  </si>
  <si>
    <t xml:space="preserve">Нераспределенная чистая прибыль (убыток) текущего года </t>
  </si>
  <si>
    <t>Переоценка основных средств и ценных бумаг</t>
  </si>
  <si>
    <t>Общие резервы (провизии), включаемые в расчет собственного капитала</t>
  </si>
  <si>
    <t>Субординированный долг организации за минусом выкупленного собственного долга организации в соответствии с пунктом 4 Инструкции</t>
  </si>
  <si>
    <t>Нематериальные активы</t>
  </si>
  <si>
    <t>Инвестиции в акции эмитента, включая акции, предназначенные для торговли и имеющиеся в наличии для продажи, и доли участия в уставном капитале юридического лица, а также субординированный долг юридического лица</t>
  </si>
  <si>
    <t>Собственный капитал организации</t>
  </si>
  <si>
    <t>11-1</t>
  </si>
  <si>
    <t>Капитал первого уровня организации</t>
  </si>
  <si>
    <t>11-2</t>
  </si>
  <si>
    <t>Капитал второго уровня организации</t>
  </si>
  <si>
    <t>Активы, взвешенные по степени кредитного риска</t>
  </si>
  <si>
    <t>Условные и возможные обязательства, взвешенные по степени кредитного риска</t>
  </si>
  <si>
    <t>13-1</t>
  </si>
  <si>
    <t>Активы, за вычетом резервов, сформированных в соответствии с международными стандартами финансовой отчетности</t>
  </si>
  <si>
    <t>Коэффициент достаточности собственного капитала k1</t>
  </si>
  <si>
    <t>14-1</t>
  </si>
  <si>
    <t>Коэффициент достаточности собственного капитала k1-2</t>
  </si>
  <si>
    <t>14-2</t>
  </si>
  <si>
    <t>Коэффициент достаточности собственного капитала k1-3</t>
  </si>
  <si>
    <t>14-3</t>
  </si>
  <si>
    <t>Операционный риск</t>
  </si>
  <si>
    <t>Совокупная задолженность одного заемщика или группы взаимосвязанных заемщиков по любому виду обязательств перед организацией согласно главе 3 Инструкции</t>
  </si>
  <si>
    <t>Коэффициент максимального размера риска на одного заемщика (группы заемщиков), связанного с организацией особыми отношениями - к2</t>
  </si>
  <si>
    <t>Ссудный портфель организации</t>
  </si>
  <si>
    <t>Коэффициент максимального размера ссудного портфеля, не превышающий размер собственного капитала более чем в восемь раз</t>
  </si>
  <si>
    <t>Сумма активов с оставшимся сроком погашения не более 3-х месяцев, включая высоколиквидные активы</t>
  </si>
  <si>
    <t>Сумма обязательств с оставшимся сроком погашения не более 3-х месяцев, включая обязательства до востребования</t>
  </si>
  <si>
    <t>Коэффициент краткосрочной ликвидности к3</t>
  </si>
  <si>
    <t>Краткосрочные обязательства перед нерезидентами</t>
  </si>
  <si>
    <t>Коэффициент максимального лимита краткосрочных обязательств перед нерезидентами</t>
  </si>
  <si>
    <t>Обязательства перед нерезидентами, включаемые в расчет коэффициента k5</t>
  </si>
  <si>
    <t>Коэффициент капитализации организации к обязательствам перед нерезидентами Республики Казахстан (k5)</t>
  </si>
  <si>
    <t>Обязательства перед нерезидентами и долговые ценные бумаги, включаемые в расчет коэффициента k6</t>
  </si>
  <si>
    <t>Коэффициент капитализации организации к обязательствам перед нерезидентами Республики Казахстан (k6)</t>
  </si>
  <si>
    <t>Место для печати</t>
  </si>
  <si>
    <t>7-1</t>
  </si>
  <si>
    <t>Общие резервы (провизии), не включаемые в расчет собственного капитала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</si>
  <si>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</si>
  <si>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</si>
  <si>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</si>
  <si>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</si>
  <si>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</si>
  <si>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</si>
  <si>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</si>
  <si>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</si>
  <si>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</si>
  <si>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</si>
  <si>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</si>
  <si>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</si>
  <si>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</si>
  <si>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</si>
  <si>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</si>
  <si>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"prud", "xls_version":"4","begin_date":"01.01.2014", "tables": [{"name": "array", "key": "num", "position": "1", "positionKey": "2","columns": [
{"name": "sum", "type": "n0", "position": "4"}
]}]}</t>
  </si>
</sst>
</file>

<file path=xl/styles.xml><?xml version="1.0" encoding="utf-8"?>
<styleSheet xmlns="http://schemas.openxmlformats.org/spreadsheetml/2006/main">
  <numFmts count="1">
    <numFmt numFmtId="164" formatCode="#,##0.000"/>
  </numFmts>
  <fonts count="6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39">
    <xf numFmtId="0" fontId="0" fillId="0" borderId="0" xfId="0"/>
    <xf numFmtId="0" fontId="2" fillId="0" borderId="2" xfId="1" applyFont="1" applyFill="1" applyBorder="1" applyAlignment="1" applyProtection="1">
      <alignment horizontal="justify" vertical="top" wrapText="1"/>
    </xf>
    <xf numFmtId="0" fontId="0" fillId="0" borderId="0" xfId="0" applyProtection="1"/>
    <xf numFmtId="0" fontId="2" fillId="0" borderId="0" xfId="1" applyFont="1" applyFill="1" applyAlignment="1" applyProtection="1">
      <alignment horizontal="right" wrapText="1"/>
    </xf>
    <xf numFmtId="0" fontId="2" fillId="0" borderId="0" xfId="1" applyFont="1" applyFill="1" applyProtection="1"/>
    <xf numFmtId="0" fontId="2" fillId="0" borderId="0" xfId="1" applyFont="1" applyFill="1" applyAlignment="1" applyProtection="1">
      <alignment horizontal="center"/>
    </xf>
    <xf numFmtId="0" fontId="2" fillId="3" borderId="1" xfId="1" applyFont="1" applyFill="1" applyBorder="1" applyAlignment="1" applyProtection="1">
      <alignment horizontal="center" vertical="center" wrapText="1"/>
    </xf>
    <xf numFmtId="3" fontId="2" fillId="3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horizontal="center" vertical="center" wrapText="1"/>
    </xf>
    <xf numFmtId="49" fontId="4" fillId="0" borderId="0" xfId="0" applyNumberFormat="1" applyFont="1" applyFill="1" applyBorder="1" applyAlignment="1" applyProtection="1">
      <alignment vertical="center" wrapText="1"/>
    </xf>
    <xf numFmtId="49" fontId="2" fillId="0" borderId="1" xfId="1" applyNumberFormat="1" applyFont="1" applyFill="1" applyBorder="1" applyAlignment="1" applyProtection="1">
      <alignment horizontal="center" vertical="center" wrapText="1"/>
    </xf>
    <xf numFmtId="0" fontId="2" fillId="0" borderId="2" xfId="1" applyFont="1" applyFill="1" applyBorder="1" applyAlignment="1" applyProtection="1">
      <alignment horizontal="justify" vertical="center" wrapText="1"/>
    </xf>
    <xf numFmtId="0" fontId="2" fillId="0" borderId="2" xfId="1" applyFont="1" applyFill="1" applyBorder="1" applyAlignment="1" applyProtection="1">
      <alignment horizontal="justify" wrapText="1"/>
    </xf>
    <xf numFmtId="0" fontId="2" fillId="0" borderId="0" xfId="1" applyFont="1" applyFill="1" applyBorder="1" applyAlignment="1" applyProtection="1">
      <alignment horizontal="center" vertical="center" wrapText="1"/>
    </xf>
    <xf numFmtId="0" fontId="2" fillId="0" borderId="0" xfId="1" applyFont="1" applyFill="1" applyBorder="1" applyAlignment="1" applyProtection="1">
      <alignment horizontal="justify" wrapText="1"/>
    </xf>
    <xf numFmtId="3" fontId="2" fillId="0" borderId="0" xfId="1" applyNumberFormat="1" applyFont="1" applyFill="1" applyBorder="1" applyAlignment="1" applyProtection="1">
      <alignment horizontal="center" wrapText="1"/>
    </xf>
    <xf numFmtId="164" fontId="2" fillId="0" borderId="1" xfId="1" applyNumberFormat="1" applyFont="1" applyFill="1" applyBorder="1" applyAlignment="1" applyProtection="1">
      <alignment horizontal="right"/>
    </xf>
    <xf numFmtId="3" fontId="4" fillId="2" borderId="1" xfId="0" applyNumberFormat="1" applyFont="1" applyFill="1" applyBorder="1" applyAlignment="1" applyProtection="1">
      <alignment horizontal="right"/>
      <protection locked="0"/>
    </xf>
    <xf numFmtId="3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wrapText="1"/>
    </xf>
    <xf numFmtId="0" fontId="3" fillId="0" borderId="0" xfId="1" applyFont="1" applyFill="1" applyAlignment="1" applyProtection="1">
      <alignment horizontal="center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2" fillId="0" borderId="0" xfId="1" applyFont="1" applyFill="1" applyAlignment="1" applyProtection="1">
      <alignment horizontal="right" wrapText="1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2" fillId="0" borderId="0" xfId="1" applyFont="1" applyFill="1" applyBorder="1" applyAlignment="1" applyProtection="1">
      <alignment horizontal="justify" wrapText="1"/>
    </xf>
    <xf numFmtId="0" fontId="0" fillId="0" borderId="0" xfId="0" applyBorder="1" applyAlignment="1" applyProtection="1">
      <alignment horizontal="justify" wrapText="1"/>
    </xf>
    <xf numFmtId="3" fontId="2" fillId="0" borderId="0" xfId="1" applyNumberFormat="1" applyFont="1" applyFill="1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2" fillId="0" borderId="0" xfId="2" applyFont="1" applyFill="1" applyAlignment="1" applyProtection="1">
      <alignment horizontal="left" wrapText="1"/>
    </xf>
    <xf numFmtId="0" fontId="2" fillId="0" borderId="0" xfId="2" applyFont="1" applyFill="1" applyAlignment="1" applyProtection="1">
      <alignment wrapText="1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Обычный_формы по прудикам для ИКl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67"/>
  <sheetViews>
    <sheetView tabSelected="1" workbookViewId="0">
      <pane ySplit="12" topLeftCell="A13" activePane="bottomLeft" state="frozen"/>
      <selection pane="bottomLeft" activeCell="D6" sqref="D6"/>
    </sheetView>
  </sheetViews>
  <sheetFormatPr defaultColWidth="0" defaultRowHeight="15"/>
  <cols>
    <col min="1" max="2" width="10.28515625" style="2" hidden="1" customWidth="1"/>
    <col min="3" max="3" width="9.140625" style="2" customWidth="1"/>
    <col min="4" max="4" width="94.140625" style="2" customWidth="1"/>
    <col min="5" max="5" width="20.7109375" style="2" customWidth="1"/>
    <col min="6" max="7" width="0" style="2" hidden="1" customWidth="1"/>
    <col min="8" max="16384" width="9.140625" style="2" hidden="1"/>
  </cols>
  <sheetData>
    <row r="1" spans="1:7" ht="154.5" hidden="1" customHeight="1">
      <c r="A1" s="19" t="s">
        <v>70</v>
      </c>
    </row>
    <row r="2" spans="1:7" hidden="1">
      <c r="A2" s="2" t="s">
        <v>65</v>
      </c>
    </row>
    <row r="3" spans="1:7" ht="133.5" customHeight="1">
      <c r="C3" s="26" t="s">
        <v>0</v>
      </c>
      <c r="D3" s="26"/>
      <c r="E3" s="26"/>
    </row>
    <row r="4" spans="1:7">
      <c r="C4" s="3"/>
      <c r="D4" s="3"/>
      <c r="E4" s="3"/>
    </row>
    <row r="5" spans="1:7">
      <c r="C5" s="3"/>
      <c r="D5" s="3"/>
      <c r="E5" s="3"/>
    </row>
    <row r="6" spans="1:7">
      <c r="C6" s="4"/>
      <c r="D6" s="20" t="s">
        <v>1</v>
      </c>
      <c r="E6" s="4"/>
    </row>
    <row r="7" spans="1:7" hidden="1">
      <c r="C7" s="4"/>
      <c r="D7" s="20" t="s">
        <v>2</v>
      </c>
      <c r="E7" s="4"/>
    </row>
    <row r="8" spans="1:7" hidden="1">
      <c r="C8" s="4"/>
      <c r="D8" s="20" t="s">
        <v>3</v>
      </c>
      <c r="E8" s="20"/>
    </row>
    <row r="9" spans="1:7" hidden="1">
      <c r="C9" s="4"/>
      <c r="D9" s="5" t="s">
        <v>4</v>
      </c>
      <c r="E9" s="4"/>
    </row>
    <row r="10" spans="1:7" hidden="1">
      <c r="C10" s="4"/>
      <c r="D10" s="5"/>
      <c r="E10" s="4"/>
    </row>
    <row r="11" spans="1:7">
      <c r="C11" s="5"/>
      <c r="D11" s="4"/>
      <c r="E11" s="5" t="s">
        <v>5</v>
      </c>
    </row>
    <row r="12" spans="1:7">
      <c r="B12" s="2" t="s">
        <v>55</v>
      </c>
      <c r="C12" s="6" t="s">
        <v>6</v>
      </c>
      <c r="D12" s="6" t="s">
        <v>7</v>
      </c>
      <c r="E12" s="7" t="s">
        <v>8</v>
      </c>
    </row>
    <row r="13" spans="1:7">
      <c r="B13" s="2" t="s">
        <v>56</v>
      </c>
      <c r="C13" s="8">
        <v>1</v>
      </c>
      <c r="D13" s="1" t="s">
        <v>9</v>
      </c>
      <c r="E13" s="17"/>
      <c r="F13" s="9"/>
      <c r="G13" s="9"/>
    </row>
    <row r="14" spans="1:7">
      <c r="B14" s="2" t="s">
        <v>56</v>
      </c>
      <c r="C14" s="10" t="s">
        <v>10</v>
      </c>
      <c r="D14" s="1" t="s">
        <v>11</v>
      </c>
      <c r="E14" s="17"/>
      <c r="F14" s="9"/>
      <c r="G14" s="9"/>
    </row>
    <row r="15" spans="1:7" ht="25.5">
      <c r="B15" s="2" t="s">
        <v>56</v>
      </c>
      <c r="C15" s="10" t="s">
        <v>12</v>
      </c>
      <c r="D15" s="1" t="s">
        <v>13</v>
      </c>
      <c r="E15" s="17"/>
      <c r="F15" s="9"/>
      <c r="G15" s="9"/>
    </row>
    <row r="16" spans="1:7">
      <c r="B16" s="2" t="s">
        <v>56</v>
      </c>
      <c r="C16" s="8">
        <v>2</v>
      </c>
      <c r="D16" s="1" t="s">
        <v>14</v>
      </c>
      <c r="E16" s="17"/>
      <c r="F16" s="9"/>
      <c r="G16" s="9"/>
    </row>
    <row r="17" spans="2:7">
      <c r="B17" s="2" t="s">
        <v>56</v>
      </c>
      <c r="C17" s="8">
        <v>3</v>
      </c>
      <c r="D17" s="1" t="s">
        <v>15</v>
      </c>
      <c r="E17" s="17"/>
      <c r="F17" s="9"/>
      <c r="G17" s="9"/>
    </row>
    <row r="18" spans="2:7">
      <c r="B18" s="2" t="s">
        <v>56</v>
      </c>
      <c r="C18" s="8">
        <v>4</v>
      </c>
      <c r="D18" s="1" t="s">
        <v>16</v>
      </c>
      <c r="E18" s="17"/>
      <c r="F18" s="9"/>
      <c r="G18" s="9"/>
    </row>
    <row r="19" spans="2:7">
      <c r="B19" s="2" t="s">
        <v>56</v>
      </c>
      <c r="C19" s="8">
        <v>5</v>
      </c>
      <c r="D19" s="1" t="s">
        <v>17</v>
      </c>
      <c r="E19" s="17"/>
      <c r="F19" s="9"/>
      <c r="G19" s="9"/>
    </row>
    <row r="20" spans="2:7">
      <c r="B20" s="2" t="s">
        <v>56</v>
      </c>
      <c r="C20" s="8">
        <v>6</v>
      </c>
      <c r="D20" s="1" t="s">
        <v>18</v>
      </c>
      <c r="E20" s="17"/>
      <c r="F20" s="9"/>
      <c r="G20" s="9"/>
    </row>
    <row r="21" spans="2:7">
      <c r="B21" s="2" t="s">
        <v>56</v>
      </c>
      <c r="C21" s="8">
        <v>7</v>
      </c>
      <c r="D21" s="11" t="s">
        <v>19</v>
      </c>
      <c r="E21" s="17"/>
      <c r="F21" s="9"/>
      <c r="G21" s="9"/>
    </row>
    <row r="22" spans="2:7">
      <c r="B22" s="2" t="s">
        <v>56</v>
      </c>
      <c r="C22" s="10" t="s">
        <v>53</v>
      </c>
      <c r="D22" s="11" t="s">
        <v>54</v>
      </c>
      <c r="E22" s="17"/>
      <c r="F22" s="9"/>
      <c r="G22" s="9"/>
    </row>
    <row r="23" spans="2:7" ht="25.5">
      <c r="B23" s="2" t="s">
        <v>56</v>
      </c>
      <c r="C23" s="8">
        <v>8</v>
      </c>
      <c r="D23" s="1" t="s">
        <v>20</v>
      </c>
      <c r="E23" s="17"/>
      <c r="F23" s="9"/>
      <c r="G23" s="9"/>
    </row>
    <row r="24" spans="2:7">
      <c r="B24" s="2" t="s">
        <v>56</v>
      </c>
      <c r="C24" s="8">
        <v>9</v>
      </c>
      <c r="D24" s="1" t="s">
        <v>21</v>
      </c>
      <c r="E24" s="17"/>
      <c r="F24" s="9"/>
      <c r="G24" s="9"/>
    </row>
    <row r="25" spans="2:7" ht="38.25">
      <c r="B25" s="2" t="s">
        <v>56</v>
      </c>
      <c r="C25" s="8">
        <v>10</v>
      </c>
      <c r="D25" s="1" t="s">
        <v>22</v>
      </c>
      <c r="E25" s="17"/>
      <c r="F25" s="9"/>
      <c r="G25" s="9"/>
    </row>
    <row r="26" spans="2:7">
      <c r="B26" s="2" t="s">
        <v>56</v>
      </c>
      <c r="C26" s="8">
        <v>11</v>
      </c>
      <c r="D26" s="11" t="s">
        <v>23</v>
      </c>
      <c r="E26" s="17"/>
      <c r="F26" s="9"/>
      <c r="G26" s="9"/>
    </row>
    <row r="27" spans="2:7">
      <c r="B27" s="2" t="s">
        <v>56</v>
      </c>
      <c r="C27" s="10" t="s">
        <v>24</v>
      </c>
      <c r="D27" s="1" t="s">
        <v>25</v>
      </c>
      <c r="E27" s="17"/>
      <c r="F27" s="9"/>
      <c r="G27" s="9"/>
    </row>
    <row r="28" spans="2:7">
      <c r="B28" s="2" t="s">
        <v>56</v>
      </c>
      <c r="C28" s="10" t="s">
        <v>26</v>
      </c>
      <c r="D28" s="1" t="s">
        <v>27</v>
      </c>
      <c r="E28" s="17"/>
      <c r="F28" s="9"/>
      <c r="G28" s="9"/>
    </row>
    <row r="29" spans="2:7">
      <c r="B29" s="2" t="s">
        <v>56</v>
      </c>
      <c r="C29" s="8">
        <v>12</v>
      </c>
      <c r="D29" s="1" t="s">
        <v>28</v>
      </c>
      <c r="E29" s="17"/>
      <c r="F29" s="9"/>
      <c r="G29" s="9"/>
    </row>
    <row r="30" spans="2:7">
      <c r="B30" s="2" t="s">
        <v>56</v>
      </c>
      <c r="C30" s="8">
        <v>13</v>
      </c>
      <c r="D30" s="1" t="s">
        <v>29</v>
      </c>
      <c r="E30" s="17"/>
      <c r="F30" s="9"/>
      <c r="G30" s="9"/>
    </row>
    <row r="31" spans="2:7" ht="25.5">
      <c r="B31" s="2" t="s">
        <v>56</v>
      </c>
      <c r="C31" s="10" t="s">
        <v>30</v>
      </c>
      <c r="D31" s="1" t="s">
        <v>31</v>
      </c>
      <c r="E31" s="17"/>
      <c r="F31" s="9"/>
      <c r="G31" s="9"/>
    </row>
    <row r="32" spans="2:7">
      <c r="C32" s="8">
        <v>14</v>
      </c>
      <c r="D32" s="1" t="s">
        <v>32</v>
      </c>
      <c r="E32" s="16" t="e">
        <f>E27/E31</f>
        <v>#DIV/0!</v>
      </c>
      <c r="F32" s="9"/>
      <c r="G32" s="9"/>
    </row>
    <row r="33" spans="2:7">
      <c r="C33" s="10" t="s">
        <v>33</v>
      </c>
      <c r="D33" s="1" t="s">
        <v>34</v>
      </c>
      <c r="E33" s="16" t="e">
        <f>E27/((E29+E30)-E22)</f>
        <v>#DIV/0!</v>
      </c>
      <c r="F33" s="9"/>
      <c r="G33" s="9"/>
    </row>
    <row r="34" spans="2:7">
      <c r="C34" s="10" t="s">
        <v>35</v>
      </c>
      <c r="D34" s="1" t="s">
        <v>36</v>
      </c>
      <c r="E34" s="16" t="e">
        <f>E26/(((E29+E30)-E22)+E35)</f>
        <v>#DIV/0!</v>
      </c>
      <c r="F34" s="9"/>
      <c r="G34" s="9"/>
    </row>
    <row r="35" spans="2:7">
      <c r="B35" s="2" t="s">
        <v>56</v>
      </c>
      <c r="C35" s="10" t="s">
        <v>37</v>
      </c>
      <c r="D35" s="12" t="s">
        <v>38</v>
      </c>
      <c r="E35" s="18"/>
      <c r="F35" s="9"/>
      <c r="G35" s="9"/>
    </row>
    <row r="36" spans="2:7" ht="26.25">
      <c r="B36" s="2" t="s">
        <v>56</v>
      </c>
      <c r="C36" s="8">
        <v>15</v>
      </c>
      <c r="D36" s="12" t="s">
        <v>39</v>
      </c>
      <c r="E36" s="18"/>
      <c r="F36" s="9"/>
      <c r="G36" s="9"/>
    </row>
    <row r="37" spans="2:7" ht="26.25">
      <c r="C37" s="8">
        <v>16</v>
      </c>
      <c r="D37" s="12" t="s">
        <v>40</v>
      </c>
      <c r="E37" s="16" t="e">
        <f>E36/E26</f>
        <v>#DIV/0!</v>
      </c>
      <c r="F37" s="9"/>
      <c r="G37" s="9"/>
    </row>
    <row r="38" spans="2:7">
      <c r="B38" s="2" t="s">
        <v>56</v>
      </c>
      <c r="C38" s="8">
        <v>17</v>
      </c>
      <c r="D38" s="12" t="s">
        <v>41</v>
      </c>
      <c r="E38" s="18"/>
      <c r="F38" s="9"/>
      <c r="G38" s="9"/>
    </row>
    <row r="39" spans="2:7" ht="25.5">
      <c r="C39" s="8">
        <v>18</v>
      </c>
      <c r="D39" s="11" t="s">
        <v>42</v>
      </c>
      <c r="E39" s="16" t="e">
        <f>E38/E26</f>
        <v>#DIV/0!</v>
      </c>
      <c r="F39" s="9"/>
      <c r="G39" s="9"/>
    </row>
    <row r="40" spans="2:7">
      <c r="B40" s="2" t="s">
        <v>56</v>
      </c>
      <c r="C40" s="8">
        <v>19</v>
      </c>
      <c r="D40" s="12" t="s">
        <v>43</v>
      </c>
      <c r="E40" s="18"/>
      <c r="F40" s="9"/>
      <c r="G40" s="9"/>
    </row>
    <row r="41" spans="2:7" ht="26.25">
      <c r="B41" s="2" t="s">
        <v>56</v>
      </c>
      <c r="C41" s="8">
        <v>20</v>
      </c>
      <c r="D41" s="12" t="s">
        <v>44</v>
      </c>
      <c r="E41" s="18"/>
      <c r="F41" s="9"/>
      <c r="G41" s="9"/>
    </row>
    <row r="42" spans="2:7">
      <c r="C42" s="8">
        <v>21</v>
      </c>
      <c r="D42" s="12" t="s">
        <v>45</v>
      </c>
      <c r="E42" s="16" t="e">
        <f>E40/E41</f>
        <v>#DIV/0!</v>
      </c>
      <c r="F42" s="9"/>
      <c r="G42" s="9"/>
    </row>
    <row r="43" spans="2:7">
      <c r="B43" s="2" t="s">
        <v>56</v>
      </c>
      <c r="C43" s="8">
        <v>22</v>
      </c>
      <c r="D43" s="12" t="s">
        <v>46</v>
      </c>
      <c r="E43" s="18"/>
      <c r="F43" s="9"/>
      <c r="G43" s="9"/>
    </row>
    <row r="44" spans="2:7">
      <c r="C44" s="8">
        <v>23</v>
      </c>
      <c r="D44" s="12" t="s">
        <v>47</v>
      </c>
      <c r="E44" s="16" t="e">
        <f>E43/E26</f>
        <v>#DIV/0!</v>
      </c>
      <c r="F44" s="9"/>
      <c r="G44" s="9"/>
    </row>
    <row r="45" spans="2:7">
      <c r="B45" s="2" t="s">
        <v>56</v>
      </c>
      <c r="C45" s="8">
        <v>24</v>
      </c>
      <c r="D45" s="12" t="s">
        <v>48</v>
      </c>
      <c r="E45" s="18"/>
      <c r="F45" s="9"/>
      <c r="G45" s="9"/>
    </row>
    <row r="46" spans="2:7">
      <c r="C46" s="8">
        <v>25</v>
      </c>
      <c r="D46" s="1" t="s">
        <v>49</v>
      </c>
      <c r="E46" s="16" t="e">
        <f>E45/E26</f>
        <v>#DIV/0!</v>
      </c>
      <c r="F46" s="9"/>
      <c r="G46" s="9"/>
    </row>
    <row r="47" spans="2:7">
      <c r="B47" s="2" t="s">
        <v>56</v>
      </c>
      <c r="C47" s="8">
        <v>26</v>
      </c>
      <c r="D47" s="12" t="s">
        <v>50</v>
      </c>
      <c r="E47" s="18"/>
      <c r="F47" s="9"/>
      <c r="G47" s="9"/>
    </row>
    <row r="48" spans="2:7">
      <c r="B48" s="2" t="s">
        <v>57</v>
      </c>
      <c r="C48" s="8">
        <v>27</v>
      </c>
      <c r="D48" s="1" t="s">
        <v>51</v>
      </c>
      <c r="E48" s="16" t="e">
        <f>E47/E26</f>
        <v>#DIV/0!</v>
      </c>
      <c r="F48" s="9"/>
      <c r="G48" s="9"/>
    </row>
    <row r="49" spans="1:6">
      <c r="C49" s="27"/>
      <c r="D49" s="29"/>
      <c r="E49" s="31"/>
    </row>
    <row r="50" spans="1:6">
      <c r="C50" s="28"/>
      <c r="D50" s="30"/>
      <c r="E50" s="32"/>
    </row>
    <row r="51" spans="1:6">
      <c r="C51" s="13"/>
      <c r="D51" s="14"/>
      <c r="E51" s="15"/>
    </row>
    <row r="52" spans="1:6">
      <c r="C52" s="13"/>
      <c r="D52" s="14"/>
      <c r="E52" s="15"/>
    </row>
    <row r="53" spans="1:6">
      <c r="B53" s="21"/>
      <c r="C53" s="33" t="s">
        <v>58</v>
      </c>
      <c r="D53" s="33"/>
      <c r="E53" s="33"/>
      <c r="F53" s="33"/>
    </row>
    <row r="54" spans="1:6">
      <c r="A54" s="21" t="s">
        <v>66</v>
      </c>
      <c r="C54" s="35"/>
      <c r="D54" s="36"/>
      <c r="E54" s="22" t="s">
        <v>59</v>
      </c>
      <c r="F54" s="22" t="s">
        <v>59</v>
      </c>
    </row>
    <row r="55" spans="1:6">
      <c r="B55" s="21"/>
      <c r="C55" s="23" t="s">
        <v>60</v>
      </c>
      <c r="D55" s="24"/>
      <c r="E55" s="22" t="s">
        <v>61</v>
      </c>
      <c r="F55" s="22" t="s">
        <v>61</v>
      </c>
    </row>
    <row r="56" spans="1:6">
      <c r="B56" s="21"/>
      <c r="C56" s="25"/>
      <c r="D56" s="25"/>
      <c r="E56" s="25"/>
      <c r="F56" s="25"/>
    </row>
    <row r="57" spans="1:6">
      <c r="B57" s="21"/>
      <c r="C57" s="34" t="s">
        <v>62</v>
      </c>
      <c r="D57" s="34"/>
      <c r="E57" s="34"/>
      <c r="F57" s="34"/>
    </row>
    <row r="58" spans="1:6">
      <c r="A58" s="21" t="s">
        <v>67</v>
      </c>
      <c r="C58" s="35"/>
      <c r="D58" s="36"/>
      <c r="E58" s="22" t="s">
        <v>59</v>
      </c>
      <c r="F58" s="22" t="s">
        <v>59</v>
      </c>
    </row>
    <row r="59" spans="1:6">
      <c r="B59" s="21"/>
      <c r="C59" s="23" t="s">
        <v>60</v>
      </c>
      <c r="D59" s="24"/>
      <c r="E59" s="22" t="s">
        <v>61</v>
      </c>
      <c r="F59" s="22" t="s">
        <v>61</v>
      </c>
    </row>
    <row r="60" spans="1:6">
      <c r="B60" s="21"/>
      <c r="C60" s="25"/>
      <c r="D60" s="25"/>
      <c r="E60" s="25"/>
      <c r="F60" s="25"/>
    </row>
    <row r="61" spans="1:6">
      <c r="B61" s="21"/>
      <c r="C61" s="34" t="s">
        <v>63</v>
      </c>
      <c r="D61" s="34"/>
      <c r="E61" s="34"/>
      <c r="F61" s="34"/>
    </row>
    <row r="62" spans="1:6">
      <c r="A62" s="21" t="s">
        <v>68</v>
      </c>
      <c r="C62" s="35"/>
      <c r="D62" s="36"/>
      <c r="E62" s="22" t="s">
        <v>59</v>
      </c>
      <c r="F62" s="22" t="s">
        <v>59</v>
      </c>
    </row>
    <row r="63" spans="1:6">
      <c r="C63" s="23" t="s">
        <v>60</v>
      </c>
      <c r="D63" s="24"/>
      <c r="E63" s="22" t="s">
        <v>61</v>
      </c>
      <c r="F63" s="22" t="s">
        <v>61</v>
      </c>
    </row>
    <row r="64" spans="1:6">
      <c r="B64" s="21"/>
      <c r="C64" s="25"/>
      <c r="D64" s="25"/>
      <c r="E64" s="25"/>
      <c r="F64" s="25"/>
    </row>
    <row r="65" spans="1:6">
      <c r="B65" s="21"/>
      <c r="C65" s="34" t="s">
        <v>64</v>
      </c>
      <c r="D65" s="34"/>
      <c r="E65" s="34"/>
      <c r="F65" s="34"/>
    </row>
    <row r="66" spans="1:6">
      <c r="A66" s="21" t="s">
        <v>69</v>
      </c>
      <c r="C66" s="37"/>
      <c r="D66" s="38"/>
      <c r="E66" s="25"/>
      <c r="F66" s="25"/>
    </row>
    <row r="67" spans="1:6">
      <c r="A67" s="21" t="s">
        <v>57</v>
      </c>
      <c r="B67" s="21"/>
      <c r="C67" s="34" t="s">
        <v>52</v>
      </c>
      <c r="D67" s="34"/>
      <c r="E67" s="34"/>
      <c r="F67" s="34"/>
    </row>
  </sheetData>
  <sheetProtection password="E7EF" sheet="1" objects="1" scenarios="1" formatCells="0" formatColumns="0" formatRows="0"/>
  <mergeCells count="13">
    <mergeCell ref="C65:F65"/>
    <mergeCell ref="C67:F67"/>
    <mergeCell ref="C54:D54"/>
    <mergeCell ref="C57:F57"/>
    <mergeCell ref="C58:D58"/>
    <mergeCell ref="C61:F61"/>
    <mergeCell ref="C62:D62"/>
    <mergeCell ref="C66:D66"/>
    <mergeCell ref="C3:E3"/>
    <mergeCell ref="C49:C50"/>
    <mergeCell ref="D49:D50"/>
    <mergeCell ref="E49:E50"/>
    <mergeCell ref="C53:F53"/>
  </mergeCells>
  <dataValidations count="2">
    <dataValidation type="whole" operator="notEqual" allowBlank="1" showInputMessage="1" showErrorMessage="1" errorTitle="Ошибка ввода" error="Введите целое число." sqref="E13:E31 E35:E36 E38 E40:E41 E43 E45 E47">
      <formula1>-1234567890</formula1>
    </dataValidation>
    <dataValidation type="date" operator="notEqual" allowBlank="1" showInputMessage="1" showErrorMessage="1" errorTitle="Ошибка ввода" error="Введите дату." sqref="C66:D6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Пруд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2014-07-31T04:10:33Z</dcterms:created>
  <dcterms:modified xsi:type="dcterms:W3CDTF">2016-10-20T03:47:02Z</dcterms:modified>
</cp:coreProperties>
</file>