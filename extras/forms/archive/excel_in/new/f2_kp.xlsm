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45" yWindow="660" windowWidth="17505" windowHeight="12225"/>
  </bookViews>
  <sheets>
    <sheet name="Ф2 Казпочта" sheetId="4" r:id="rId1"/>
  </sheets>
  <externalReferences>
    <externalReference r:id="rId2"/>
  </externalReferences>
  <definedNames>
    <definedName name="q">#REF!</definedName>
    <definedName name="z">#REF!</definedName>
    <definedName name="вп">#REF!</definedName>
    <definedName name="дата">#REF!</definedName>
    <definedName name="_xlnm.Print_Area" localSheetId="0">'Ф2 Казпочта'!$A$1:$G$93</definedName>
    <definedName name="Страны">[1]Лист1!$A$1:$A$5</definedName>
    <definedName name="ф77" localSheetId="0">#REF!</definedName>
    <definedName name="ф77">#REF!</definedName>
  </definedNames>
  <calcPr calcId="125725"/>
</workbook>
</file>

<file path=xl/calcChain.xml><?xml version="1.0" encoding="utf-8"?>
<calcChain xmlns="http://schemas.openxmlformats.org/spreadsheetml/2006/main">
  <c r="C12" i="4"/>
  <c r="C16" s="1"/>
  <c r="D12"/>
  <c r="D16" s="1"/>
  <c r="E12"/>
  <c r="E16" s="1"/>
  <c r="F12"/>
  <c r="F16" s="1"/>
  <c r="C18"/>
  <c r="D18"/>
  <c r="E18"/>
  <c r="F18"/>
  <c r="C27"/>
  <c r="D27"/>
  <c r="E27"/>
  <c r="F27"/>
  <c r="C34"/>
  <c r="D34"/>
  <c r="E34"/>
  <c r="F34"/>
  <c r="C46"/>
  <c r="D46"/>
  <c r="E46"/>
  <c r="F46"/>
  <c r="C52"/>
  <c r="D52"/>
  <c r="E52"/>
  <c r="F52"/>
  <c r="C60"/>
  <c r="C67" s="1"/>
  <c r="D60"/>
  <c r="E60"/>
  <c r="F60"/>
  <c r="D43" l="1"/>
  <c r="C43"/>
  <c r="C69" s="1"/>
  <c r="C72" s="1"/>
  <c r="C75" s="1"/>
  <c r="F67"/>
  <c r="E67"/>
  <c r="F43"/>
  <c r="E43"/>
  <c r="D67"/>
  <c r="D69" l="1"/>
  <c r="D72" s="1"/>
  <c r="D75" s="1"/>
  <c r="F69"/>
  <c r="F72" s="1"/>
  <c r="F75" s="1"/>
  <c r="E69"/>
  <c r="E72" s="1"/>
  <c r="E75" s="1"/>
</calcChain>
</file>

<file path=xl/sharedStrings.xml><?xml version="1.0" encoding="utf-8"?>
<sst xmlns="http://schemas.openxmlformats.org/spreadsheetml/2006/main" count="107" uniqueCount="103">
  <si>
    <t>Место для печати</t>
  </si>
  <si>
    <t>Телефон:________________</t>
  </si>
  <si>
    <t>Исполнитель ________________________                              дата _______________</t>
  </si>
  <si>
    <t>Главный бухгалтер _____________________                           дата _______________</t>
  </si>
  <si>
    <t>Первый руководитель (на период его отсутствия - лицо, его замещающее) _____________________  дата ______________</t>
  </si>
  <si>
    <t>25</t>
  </si>
  <si>
    <t>Итого чистая прибыль (убыток) за период  (стр. 22+/-стр.23 -стр.24)</t>
  </si>
  <si>
    <t>Прибыль (убыток) от прекращенной деятельности</t>
  </si>
  <si>
    <t>Чистая прибыль (убыток) после уплаты корпоративного подоходного налога (стр.20 - стр.21)</t>
  </si>
  <si>
    <t xml:space="preserve">Корпоративный подоходный налог </t>
  </si>
  <si>
    <t>Чистая прибыль (убыток) до уплаты корпоративного подоходного налога (стр.13 - стр.19)</t>
  </si>
  <si>
    <t>Итого расходов (сумма строк с 14 по 18)</t>
  </si>
  <si>
    <t xml:space="preserve">Прочие расходы </t>
  </si>
  <si>
    <t>17.4</t>
  </si>
  <si>
    <t xml:space="preserve">     расходы от осуществления инкассации</t>
  </si>
  <si>
    <t>17.3</t>
  </si>
  <si>
    <t xml:space="preserve">     расходы от осуществления кассовых операций </t>
  </si>
  <si>
    <t>17.2</t>
  </si>
  <si>
    <t xml:space="preserve">     расходы от осуществления клиринговых операций </t>
  </si>
  <si>
    <t>17.1</t>
  </si>
  <si>
    <t xml:space="preserve">     расходы от осуществления переводных операций</t>
  </si>
  <si>
    <t xml:space="preserve">     из них:</t>
  </si>
  <si>
    <t>Расходы, по финансовой деятельности, не связанные с выплатой вознаграждения</t>
  </si>
  <si>
    <t>16.6</t>
  </si>
  <si>
    <t xml:space="preserve">     прочие расходы, связанные с выплатой вознаграждения</t>
  </si>
  <si>
    <t>16.5</t>
  </si>
  <si>
    <t xml:space="preserve">     по операциям "РЕПО"</t>
  </si>
  <si>
    <t>16.4</t>
  </si>
  <si>
    <t xml:space="preserve">     по выпущенным ценным бумагам</t>
  </si>
  <si>
    <t>16.3</t>
  </si>
  <si>
    <t xml:space="preserve">     по полученной финансовой аренде</t>
  </si>
  <si>
    <t>16.2</t>
  </si>
  <si>
    <t xml:space="preserve">     по полученным займам</t>
  </si>
  <si>
    <t>16.1</t>
  </si>
  <si>
    <t xml:space="preserve">     по привлеченным вкладам </t>
  </si>
  <si>
    <t xml:space="preserve">     в том числе:</t>
  </si>
  <si>
    <t>Расходы, связанные с выплатой вознаграждения</t>
  </si>
  <si>
    <t>Расходы, связанные с финансовой деятельностью</t>
  </si>
  <si>
    <t>15.3</t>
  </si>
  <si>
    <t xml:space="preserve">     расходы по уплате налогов и других обязательных платежей в бюджет (кроме корпоративного подоходного налога)</t>
  </si>
  <si>
    <t>15.2</t>
  </si>
  <si>
    <t xml:space="preserve">     амортизационные отчисления </t>
  </si>
  <si>
    <t>15.1</t>
  </si>
  <si>
    <t xml:space="preserve">     расходы на оплату труда и командировочные</t>
  </si>
  <si>
    <t>Операционные расходы</t>
  </si>
  <si>
    <t>Расходы, связанные с реализацией готовой продукции (работ, услуг)</t>
  </si>
  <si>
    <t>Итого доходов (сумма строк с 3 по 12)</t>
  </si>
  <si>
    <t>Прочие доходы</t>
  </si>
  <si>
    <t>Доходы от реализации (выбытия) активов</t>
  </si>
  <si>
    <t xml:space="preserve">Доходы от участия в капитале других юридических лиц </t>
  </si>
  <si>
    <t>Прочие доходы, не связанные с финансовой деятельностью</t>
  </si>
  <si>
    <t>Доходы (расходы) от переоценки иностранной валюты (нетто)</t>
  </si>
  <si>
    <t>7.2</t>
  </si>
  <si>
    <t xml:space="preserve">     доходы (расходы) от изменения стоимости финансовых активов, оцениваемых  по справедливой стоимости (нетто)</t>
  </si>
  <si>
    <t>7.1</t>
  </si>
  <si>
    <t xml:space="preserve">    доходы (расходы) от купли/продажи финансовых активов (нетто)</t>
  </si>
  <si>
    <t>из них:</t>
  </si>
  <si>
    <t>Доходы (расходы) по финансовым активам (нетто)</t>
  </si>
  <si>
    <t>Прочие доходы, связанные с финансовой деятельностью</t>
  </si>
  <si>
    <t>5.4</t>
  </si>
  <si>
    <t xml:space="preserve">     доходы от осуществления инкассации</t>
  </si>
  <si>
    <t>5.3</t>
  </si>
  <si>
    <t xml:space="preserve">     доходы от осуществления кассовых операций</t>
  </si>
  <si>
    <t>5.2</t>
  </si>
  <si>
    <t xml:space="preserve">     доходы от осуществления клиринговых операций </t>
  </si>
  <si>
    <t>5.1</t>
  </si>
  <si>
    <t xml:space="preserve">     доходы от осуществления переводных операций</t>
  </si>
  <si>
    <t>Доходы, не связанные с получением вознаграждения</t>
  </si>
  <si>
    <t>4.7</t>
  </si>
  <si>
    <t xml:space="preserve">     прочие доходы, связанные с получением вознаграждения</t>
  </si>
  <si>
    <t>4.6</t>
  </si>
  <si>
    <t xml:space="preserve">     по операциям "обратное РЕПО"</t>
  </si>
  <si>
    <t>4.5</t>
  </si>
  <si>
    <t xml:space="preserve">     по приобретенным ценным бумагам</t>
  </si>
  <si>
    <t>4.4</t>
  </si>
  <si>
    <t xml:space="preserve">     по предоставленной финансовой аренде</t>
  </si>
  <si>
    <t>4.3</t>
  </si>
  <si>
    <t xml:space="preserve">     по предоставленным займам</t>
  </si>
  <si>
    <t>4.2</t>
  </si>
  <si>
    <t xml:space="preserve">     по размещенным вкладам</t>
  </si>
  <si>
    <t>4.1</t>
  </si>
  <si>
    <t xml:space="preserve">     по корреспондентским и текущим счетам</t>
  </si>
  <si>
    <t xml:space="preserve">     в том числе: </t>
  </si>
  <si>
    <t>Доходы, связанные с получением вознаграждения</t>
  </si>
  <si>
    <t>Доходы, связанные с финансовой  деятельностью</t>
  </si>
  <si>
    <t>Валовая прибыль (стр.1 - стр.2)</t>
  </si>
  <si>
    <t>2.2</t>
  </si>
  <si>
    <t>2.1</t>
  </si>
  <si>
    <t xml:space="preserve">     расходы на материалы</t>
  </si>
  <si>
    <t>Себестоимость реализованной готовой продукции (работ, услуг)</t>
  </si>
  <si>
    <t>Доход от реализации готовой продукции (работ, услуг)</t>
  </si>
  <si>
    <t>За аналогичный период с начала предыдущего года (с нарастающим итогом)</t>
  </si>
  <si>
    <t>За аналогичный отчетный период предыдущего года</t>
  </si>
  <si>
    <t>За период с начала текущего года (с нарастающим итогом)</t>
  </si>
  <si>
    <t>За отчетный период</t>
  </si>
  <si>
    <t>Код строки</t>
  </si>
  <si>
    <t>Наименование статьи</t>
  </si>
  <si>
    <t>( в тысячах тенге)</t>
  </si>
  <si>
    <t xml:space="preserve">           по состоянию на «___» «_________________» 20__ года</t>
  </si>
  <si>
    <t>(полное наименование Национального оператора почты)</t>
  </si>
  <si>
    <t xml:space="preserve">      __________________________________________________</t>
  </si>
  <si>
    <t>Отчет о прибылях и убытках</t>
  </si>
  <si>
    <t xml:space="preserve">Приложение 12 
к постановлению Правления 
Национального Банка 
Республики Казахстан 
от 27 мая 2013 года № 130 
</t>
  </si>
</sst>
</file>

<file path=xl/styles.xml><?xml version="1.0" encoding="utf-8"?>
<styleSheet xmlns="http://schemas.openxmlformats.org/spreadsheetml/2006/main">
  <numFmts count="1">
    <numFmt numFmtId="164" formatCode="_-* #,##0.00_р_._-;\-* #,##0.00_р_._-;_-* &quot;-&quot;??_р_._-;_-@_-"/>
  </numFmts>
  <fonts count="1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Calibri"/>
      <family val="2"/>
      <charset val="204"/>
      <scheme val="minor"/>
    </font>
    <font>
      <sz val="10"/>
      <color indexed="8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sz val="10"/>
      <color indexed="8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sz val="10"/>
      <color theme="1"/>
      <name val="Calibri"/>
      <family val="2"/>
      <charset val="204"/>
      <scheme val="minor"/>
    </font>
    <font>
      <b/>
      <sz val="14"/>
      <name val="Cambria"/>
      <family val="1"/>
      <charset val="204"/>
      <scheme val="major"/>
    </font>
    <font>
      <b/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8" fillId="0" borderId="0"/>
    <xf numFmtId="0" fontId="9" fillId="0" borderId="0"/>
  </cellStyleXfs>
  <cellXfs count="45">
    <xf numFmtId="0" fontId="0" fillId="0" borderId="0" xfId="0"/>
    <xf numFmtId="0" fontId="4" fillId="0" borderId="0" xfId="3" applyFont="1" applyFill="1" applyProtection="1">
      <protection locked="0"/>
    </xf>
    <xf numFmtId="0" fontId="4" fillId="0" borderId="0" xfId="3" applyFont="1" applyFill="1" applyProtection="1"/>
    <xf numFmtId="0" fontId="4" fillId="0" borderId="0" xfId="3" applyFont="1" applyFill="1" applyAlignment="1" applyProtection="1">
      <alignment horizontal="center"/>
    </xf>
    <xf numFmtId="0" fontId="6" fillId="0" borderId="0" xfId="3" applyFont="1" applyFill="1" applyProtection="1">
      <protection locked="0"/>
    </xf>
    <xf numFmtId="3" fontId="4" fillId="0" borderId="1" xfId="4" applyNumberFormat="1" applyFont="1" applyFill="1" applyBorder="1" applyProtection="1">
      <protection locked="0"/>
    </xf>
    <xf numFmtId="49" fontId="5" fillId="0" borderId="1" xfId="3" applyNumberFormat="1" applyFont="1" applyFill="1" applyBorder="1" applyAlignment="1" applyProtection="1">
      <alignment horizontal="center" vertical="center" wrapText="1"/>
    </xf>
    <xf numFmtId="0" fontId="5" fillId="0" borderId="1" xfId="3" applyFont="1" applyFill="1" applyBorder="1" applyAlignment="1" applyProtection="1">
      <alignment vertical="top" wrapText="1"/>
    </xf>
    <xf numFmtId="0" fontId="5" fillId="0" borderId="1" xfId="3" applyFont="1" applyFill="1" applyBorder="1" applyAlignment="1" applyProtection="1">
      <alignment horizontal="center" vertical="center" wrapText="1"/>
    </xf>
    <xf numFmtId="3" fontId="6" fillId="0" borderId="1" xfId="4" applyNumberFormat="1" applyFont="1" applyFill="1" applyBorder="1" applyProtection="1">
      <protection locked="0"/>
    </xf>
    <xf numFmtId="0" fontId="4" fillId="0" borderId="1" xfId="3" applyFont="1" applyFill="1" applyBorder="1" applyAlignment="1" applyProtection="1">
      <alignment horizontal="center" vertical="center" wrapText="1"/>
    </xf>
    <xf numFmtId="0" fontId="4" fillId="0" borderId="1" xfId="3" applyFont="1" applyFill="1" applyBorder="1" applyAlignment="1" applyProtection="1">
      <alignment vertical="top" wrapText="1"/>
    </xf>
    <xf numFmtId="0" fontId="4" fillId="0" borderId="0" xfId="3" applyFont="1" applyFill="1" applyAlignment="1" applyProtection="1">
      <alignment horizontal="center" vertical="center"/>
      <protection locked="0"/>
    </xf>
    <xf numFmtId="0" fontId="5" fillId="0" borderId="1" xfId="3" applyFont="1" applyFill="1" applyBorder="1" applyAlignment="1" applyProtection="1">
      <alignment horizontal="left" vertical="top" wrapText="1"/>
    </xf>
    <xf numFmtId="0" fontId="4" fillId="0" borderId="0" xfId="3" applyFont="1" applyFill="1" applyAlignment="1" applyProtection="1">
      <alignment horizontal="right"/>
    </xf>
    <xf numFmtId="0" fontId="5" fillId="0" borderId="0" xfId="3" applyFont="1" applyFill="1" applyBorder="1" applyAlignment="1" applyProtection="1">
      <alignment horizontal="left" vertical="top" wrapText="1"/>
    </xf>
    <xf numFmtId="0" fontId="6" fillId="0" borderId="0" xfId="3" applyFont="1" applyFill="1" applyAlignment="1" applyProtection="1">
      <alignment horizontal="center"/>
      <protection locked="0"/>
    </xf>
    <xf numFmtId="0" fontId="4" fillId="0" borderId="0" xfId="3" applyFont="1" applyFill="1" applyAlignment="1" applyProtection="1">
      <alignment horizontal="center"/>
      <protection locked="0"/>
    </xf>
    <xf numFmtId="0" fontId="10" fillId="0" borderId="1" xfId="2" applyFont="1" applyFill="1" applyBorder="1" applyAlignment="1" applyProtection="1">
      <alignment vertical="top" wrapText="1"/>
    </xf>
    <xf numFmtId="0" fontId="10" fillId="0" borderId="1" xfId="2" applyFont="1" applyFill="1" applyBorder="1" applyAlignment="1" applyProtection="1">
      <alignment horizontal="center" vertical="center" wrapText="1"/>
    </xf>
    <xf numFmtId="3" fontId="10" fillId="0" borderId="1" xfId="2" applyNumberFormat="1" applyFont="1" applyFill="1" applyBorder="1" applyProtection="1">
      <protection locked="0"/>
    </xf>
    <xf numFmtId="0" fontId="4" fillId="0" borderId="0" xfId="3" applyFont="1" applyFill="1" applyAlignment="1" applyProtection="1">
      <alignment horizontal="justify" vertical="top"/>
    </xf>
    <xf numFmtId="0" fontId="10" fillId="0" borderId="1" xfId="2" applyFont="1" applyFill="1" applyBorder="1" applyAlignment="1" applyProtection="1">
      <alignment wrapText="1"/>
    </xf>
    <xf numFmtId="0" fontId="6" fillId="4" borderId="1" xfId="1" applyFont="1" applyFill="1" applyBorder="1" applyAlignment="1" applyProtection="1">
      <alignment horizontal="center" vertical="center" wrapText="1"/>
    </xf>
    <xf numFmtId="0" fontId="6" fillId="4" borderId="1" xfId="1" applyFont="1" applyFill="1" applyBorder="1" applyAlignment="1" applyProtection="1">
      <alignment horizontal="center" vertical="top" wrapText="1"/>
    </xf>
    <xf numFmtId="0" fontId="6" fillId="4" borderId="1" xfId="1" applyFont="1" applyFill="1" applyBorder="1" applyAlignment="1" applyProtection="1">
      <alignment horizontal="center"/>
    </xf>
    <xf numFmtId="0" fontId="12" fillId="4" borderId="1" xfId="2" applyFont="1" applyFill="1" applyBorder="1" applyAlignment="1" applyProtection="1">
      <alignment vertical="top" wrapText="1"/>
    </xf>
    <xf numFmtId="0" fontId="12" fillId="4" borderId="1" xfId="2" applyFont="1" applyFill="1" applyBorder="1" applyAlignment="1" applyProtection="1">
      <alignment horizontal="center" vertical="center" wrapText="1"/>
    </xf>
    <xf numFmtId="3" fontId="12" fillId="4" borderId="1" xfId="2" applyNumberFormat="1" applyFont="1" applyFill="1" applyBorder="1" applyProtection="1">
      <protection locked="0"/>
    </xf>
    <xf numFmtId="0" fontId="7" fillId="4" borderId="1" xfId="3" applyFont="1" applyFill="1" applyBorder="1" applyAlignment="1" applyProtection="1">
      <alignment vertical="top" wrapText="1"/>
    </xf>
    <xf numFmtId="0" fontId="7" fillId="4" borderId="1" xfId="3" applyFont="1" applyFill="1" applyBorder="1" applyAlignment="1" applyProtection="1">
      <alignment horizontal="center" vertical="center" wrapText="1"/>
    </xf>
    <xf numFmtId="3" fontId="6" fillId="4" borderId="1" xfId="4" applyNumberFormat="1" applyFont="1" applyFill="1" applyBorder="1" applyProtection="1">
      <protection locked="0"/>
    </xf>
    <xf numFmtId="49" fontId="12" fillId="4" borderId="1" xfId="2" applyNumberFormat="1" applyFont="1" applyFill="1" applyBorder="1" applyAlignment="1" applyProtection="1">
      <alignment horizontal="center" vertical="center" wrapText="1"/>
    </xf>
    <xf numFmtId="0" fontId="10" fillId="4" borderId="1" xfId="2" applyFont="1" applyFill="1" applyBorder="1" applyAlignment="1" applyProtection="1">
      <alignment horizontal="center" vertical="center" wrapText="1"/>
    </xf>
    <xf numFmtId="3" fontId="10" fillId="4" borderId="1" xfId="2" applyNumberFormat="1" applyFont="1" applyFill="1" applyBorder="1" applyProtection="1">
      <protection locked="0"/>
    </xf>
    <xf numFmtId="0" fontId="12" fillId="5" borderId="1" xfId="2" applyFont="1" applyFill="1" applyBorder="1" applyAlignment="1" applyProtection="1">
      <alignment vertical="top" wrapText="1"/>
    </xf>
    <xf numFmtId="0" fontId="12" fillId="5" borderId="1" xfId="2" applyFont="1" applyFill="1" applyBorder="1" applyAlignment="1" applyProtection="1">
      <alignment horizontal="center" vertical="center" wrapText="1"/>
    </xf>
    <xf numFmtId="3" fontId="12" fillId="5" borderId="1" xfId="2" applyNumberFormat="1" applyFont="1" applyFill="1" applyBorder="1" applyProtection="1">
      <protection locked="0"/>
    </xf>
    <xf numFmtId="0" fontId="5" fillId="0" borderId="0" xfId="3" applyFont="1" applyFill="1" applyBorder="1" applyAlignment="1" applyProtection="1">
      <alignment horizontal="left" vertical="top" wrapText="1"/>
    </xf>
    <xf numFmtId="0" fontId="4" fillId="0" borderId="0" xfId="3" applyFont="1" applyFill="1" applyAlignment="1" applyProtection="1">
      <alignment horizontal="right" vertical="top" wrapText="1" shrinkToFit="1"/>
    </xf>
    <xf numFmtId="0" fontId="4" fillId="0" borderId="0" xfId="3" applyFont="1" applyFill="1" applyAlignment="1">
      <alignment horizontal="right" vertical="top"/>
    </xf>
    <xf numFmtId="0" fontId="4" fillId="0" borderId="0" xfId="3" applyFont="1" applyFill="1" applyAlignment="1" applyProtection="1">
      <alignment horizontal="center"/>
    </xf>
    <xf numFmtId="0" fontId="6" fillId="0" borderId="0" xfId="3" applyFont="1" applyFill="1" applyAlignment="1" applyProtection="1">
      <alignment horizontal="center"/>
      <protection locked="0"/>
    </xf>
    <xf numFmtId="0" fontId="11" fillId="0" borderId="0" xfId="3" applyFont="1" applyFill="1" applyAlignment="1" applyProtection="1">
      <alignment horizontal="center" vertical="center"/>
    </xf>
    <xf numFmtId="0" fontId="4" fillId="0" borderId="0" xfId="3" applyFont="1" applyFill="1" applyAlignment="1" applyProtection="1">
      <alignment horizontal="center"/>
      <protection locked="0"/>
    </xf>
  </cellXfs>
  <cellStyles count="7">
    <cellStyle name="20% - Акцент1" xfId="2" builtinId="30"/>
    <cellStyle name="Акцент1" xfId="1" builtinId="29"/>
    <cellStyle name="Обычный" xfId="0" builtinId="0"/>
    <cellStyle name="Обычный 2" xfId="3"/>
    <cellStyle name="Обычный 3" xfId="5"/>
    <cellStyle name="Стиль 1" xfId="6"/>
    <cellStyle name="Финансовый 2" xfId="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161925</xdr:rowOff>
    </xdr:from>
    <xdr:to>
      <xdr:col>0</xdr:col>
      <xdr:colOff>2686050</xdr:colOff>
      <xdr:row>0</xdr:row>
      <xdr:rowOff>581025</xdr:rowOff>
    </xdr:to>
    <xdr:sp macro="" textlink="">
      <xdr:nvSpPr>
        <xdr:cNvPr id="2" name="Text Box 1024"/>
        <xdr:cNvSpPr txBox="1">
          <a:spLocks noChangeArrowheads="1"/>
        </xdr:cNvSpPr>
      </xdr:nvSpPr>
      <xdr:spPr bwMode="auto">
        <a:xfrm>
          <a:off x="790575" y="161925"/>
          <a:ext cx="4286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ctr" upright="1"/>
        <a:lstStyle/>
        <a:p>
          <a:pPr algn="ctr" rtl="0">
            <a:defRPr sz="1000"/>
          </a:pPr>
          <a:r>
            <a:rPr lang="ru-RU" sz="12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Респондент: АО "Казпочта"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3;&#1041;&#1054;_form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Важно!"/>
      <sheetName val="Лист1"/>
      <sheetName val="Вход-выход_Доп.данные_АПК"/>
      <sheetName val="Вход-выход_Пруд_АПК"/>
      <sheetName val="Вход-выход_РА_АПК"/>
      <sheetName val="Вход-выход_УВО_АПК"/>
      <sheetName val="Вход-выход_Пруд.Казпочта"/>
      <sheetName val="Вход-выход_Валют_Казпочта"/>
      <sheetName val="Вход-выход_ОТ_Активы взв."/>
      <sheetName val="Вход-выход_ОТ_УВО"/>
      <sheetName val="Вход-выход_ОТ_ПФИ"/>
      <sheetName val="Вход-выход_ОТ_К2"/>
      <sheetName val="Вход-выход_ОТ_пруд"/>
      <sheetName val="Выход_ОТ_сайт"/>
      <sheetName val="Вход-выход_ФС_РВ"/>
      <sheetName val="Вход-выход_ФС_ССЦБ"/>
      <sheetName val="Вход-выход_ФС_ПЗ"/>
      <sheetName val="Вход-выход_КА_МСФО"/>
      <sheetName val="Вход-выход_ФС_ЗПД_МСФО"/>
      <sheetName val="Вход-выход_ФС_ИКДЮ"/>
      <sheetName val="Вход-выход_ФС_РЕПО"/>
      <sheetName val="Вход-выход_ФС_ВТКС"/>
      <sheetName val="Вход-выход_ФС_ОИ"/>
      <sheetName val="Вход-выход_СДЕЛКИ_РЕЕСТР"/>
      <sheetName val="Выход_Сайт-Сведения по НБО"/>
      <sheetName val="Выход_Свед о фин.сост.НБО"/>
      <sheetName val="Выход_Сайт-пруд. Казпочта"/>
      <sheetName val="Выход_Отчет_пруд АПК"/>
    </sheetNames>
    <sheetDataSet>
      <sheetData sheetId="0"/>
      <sheetData sheetId="1">
        <row r="1">
          <cell r="A1" t="str">
            <v>KZ</v>
          </cell>
        </row>
        <row r="2">
          <cell r="A2" t="str">
            <v>RU</v>
          </cell>
        </row>
        <row r="3">
          <cell r="A3" t="str">
            <v>USD</v>
          </cell>
        </row>
        <row r="4">
          <cell r="A4" t="str">
            <v>UZ</v>
          </cell>
        </row>
        <row r="5">
          <cell r="A5" t="str">
            <v>KG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A1:F91"/>
  <sheetViews>
    <sheetView tabSelected="1" zoomScaleNormal="100" zoomScaleSheetLayoutView="100" workbookViewId="0">
      <selection activeCell="C75" sqref="C75"/>
    </sheetView>
  </sheetViews>
  <sheetFormatPr defaultRowHeight="12.75"/>
  <cols>
    <col min="1" max="1" width="82.5703125" style="1" customWidth="1"/>
    <col min="2" max="2" width="12.85546875" style="17" customWidth="1"/>
    <col min="3" max="3" width="11.28515625" style="1" customWidth="1"/>
    <col min="4" max="5" width="24.28515625" style="1" customWidth="1"/>
    <col min="6" max="6" width="29.28515625" style="1" customWidth="1"/>
    <col min="7" max="7" width="11.140625" style="1" customWidth="1"/>
    <col min="8" max="16384" width="9.140625" style="1"/>
  </cols>
  <sheetData>
    <row r="1" spans="1:6" ht="61.5" customHeight="1">
      <c r="A1" s="2"/>
      <c r="B1" s="3"/>
      <c r="D1" s="21"/>
      <c r="E1" s="39" t="s">
        <v>102</v>
      </c>
      <c r="F1" s="40"/>
    </row>
    <row r="2" spans="1:6" ht="15" customHeight="1">
      <c r="A2" s="2"/>
      <c r="B2" s="3"/>
      <c r="C2" s="2"/>
      <c r="D2" s="2"/>
      <c r="E2" s="2"/>
    </row>
    <row r="3" spans="1:6" ht="37.5" customHeight="1">
      <c r="A3" s="43" t="s">
        <v>101</v>
      </c>
      <c r="B3" s="43"/>
      <c r="C3" s="43"/>
      <c r="D3" s="43"/>
      <c r="E3" s="43"/>
      <c r="F3" s="43"/>
    </row>
    <row r="4" spans="1:6">
      <c r="A4" s="44" t="s">
        <v>100</v>
      </c>
      <c r="B4" s="44"/>
      <c r="C4" s="44"/>
      <c r="D4" s="44"/>
      <c r="E4" s="44"/>
      <c r="F4" s="44"/>
    </row>
    <row r="5" spans="1:6" s="2" customFormat="1">
      <c r="A5" s="41" t="s">
        <v>99</v>
      </c>
      <c r="B5" s="41"/>
      <c r="C5" s="41"/>
      <c r="D5" s="41"/>
      <c r="E5" s="41"/>
      <c r="F5" s="41"/>
    </row>
    <row r="6" spans="1:6">
      <c r="A6" s="42" t="s">
        <v>98</v>
      </c>
      <c r="B6" s="42"/>
      <c r="C6" s="42"/>
      <c r="D6" s="42"/>
      <c r="E6" s="42"/>
      <c r="F6" s="42"/>
    </row>
    <row r="7" spans="1:6">
      <c r="A7" s="16"/>
      <c r="B7" s="16"/>
      <c r="C7" s="16"/>
      <c r="D7" s="16"/>
      <c r="E7" s="16"/>
      <c r="F7" s="16"/>
    </row>
    <row r="8" spans="1:6" s="2" customFormat="1">
      <c r="B8" s="3"/>
      <c r="F8" s="14" t="s">
        <v>97</v>
      </c>
    </row>
    <row r="9" spans="1:6" s="2" customFormat="1" ht="39.75" customHeight="1">
      <c r="A9" s="23" t="s">
        <v>96</v>
      </c>
      <c r="B9" s="23" t="s">
        <v>95</v>
      </c>
      <c r="C9" s="23" t="s">
        <v>94</v>
      </c>
      <c r="D9" s="24" t="s">
        <v>93</v>
      </c>
      <c r="E9" s="24" t="s">
        <v>92</v>
      </c>
      <c r="F9" s="24" t="s">
        <v>91</v>
      </c>
    </row>
    <row r="10" spans="1:6" s="2" customFormat="1">
      <c r="A10" s="25">
        <v>1</v>
      </c>
      <c r="B10" s="25">
        <v>2</v>
      </c>
      <c r="C10" s="25">
        <v>3</v>
      </c>
      <c r="D10" s="25">
        <v>4</v>
      </c>
      <c r="E10" s="25">
        <v>5</v>
      </c>
      <c r="F10" s="25">
        <v>6</v>
      </c>
    </row>
    <row r="11" spans="1:6" ht="13.5" customHeight="1">
      <c r="A11" s="7" t="s">
        <v>90</v>
      </c>
      <c r="B11" s="8">
        <v>1</v>
      </c>
      <c r="C11" s="9"/>
      <c r="D11" s="9"/>
      <c r="E11" s="9"/>
      <c r="F11" s="9"/>
    </row>
    <row r="12" spans="1:6">
      <c r="A12" s="18" t="s">
        <v>89</v>
      </c>
      <c r="B12" s="19">
        <v>2</v>
      </c>
      <c r="C12" s="20">
        <f>SUM(C14:C15)</f>
        <v>0</v>
      </c>
      <c r="D12" s="20">
        <f>SUM(D14:D15)</f>
        <v>0</v>
      </c>
      <c r="E12" s="20">
        <f>SUM(E14:E15)</f>
        <v>0</v>
      </c>
      <c r="F12" s="20">
        <f>SUM(F14:F15)</f>
        <v>0</v>
      </c>
    </row>
    <row r="13" spans="1:6">
      <c r="A13" s="13" t="s">
        <v>21</v>
      </c>
      <c r="B13" s="10"/>
      <c r="C13" s="5"/>
      <c r="D13" s="5"/>
      <c r="E13" s="5"/>
      <c r="F13" s="5"/>
    </row>
    <row r="14" spans="1:6">
      <c r="A14" s="13" t="s">
        <v>88</v>
      </c>
      <c r="B14" s="6" t="s">
        <v>87</v>
      </c>
      <c r="C14" s="5"/>
      <c r="D14" s="5"/>
      <c r="E14" s="5"/>
      <c r="F14" s="5"/>
    </row>
    <row r="15" spans="1:6">
      <c r="A15" s="13" t="s">
        <v>43</v>
      </c>
      <c r="B15" s="6" t="s">
        <v>86</v>
      </c>
      <c r="C15" s="5"/>
      <c r="D15" s="5"/>
      <c r="E15" s="5"/>
      <c r="F15" s="5"/>
    </row>
    <row r="16" spans="1:6">
      <c r="A16" s="18" t="s">
        <v>85</v>
      </c>
      <c r="B16" s="19">
        <v>3</v>
      </c>
      <c r="C16" s="20">
        <f>C11-C12</f>
        <v>0</v>
      </c>
      <c r="D16" s="20">
        <f>D11-D12</f>
        <v>0</v>
      </c>
      <c r="E16" s="20">
        <f>E11-E12</f>
        <v>0</v>
      </c>
      <c r="F16" s="20">
        <f>F11-F12</f>
        <v>0</v>
      </c>
    </row>
    <row r="17" spans="1:6">
      <c r="A17" s="7" t="s">
        <v>84</v>
      </c>
      <c r="B17" s="8"/>
      <c r="C17" s="5"/>
      <c r="D17" s="5"/>
      <c r="E17" s="5"/>
      <c r="F17" s="5"/>
    </row>
    <row r="18" spans="1:6">
      <c r="A18" s="18" t="s">
        <v>83</v>
      </c>
      <c r="B18" s="19">
        <v>4</v>
      </c>
      <c r="C18" s="20">
        <f>C20+C21+C22+C23+C24+C25+C26</f>
        <v>0</v>
      </c>
      <c r="D18" s="20">
        <f>D20+D21+D22+D23+D24+D25+D26</f>
        <v>0</v>
      </c>
      <c r="E18" s="20">
        <f>E20+E21+E22+E23+E24+E25+E26</f>
        <v>0</v>
      </c>
      <c r="F18" s="20">
        <f>F20+F21+F22+F23+F24+F25+F26</f>
        <v>0</v>
      </c>
    </row>
    <row r="19" spans="1:6">
      <c r="A19" s="7" t="s">
        <v>82</v>
      </c>
      <c r="B19" s="10"/>
      <c r="C19" s="5"/>
      <c r="D19" s="5"/>
      <c r="E19" s="5"/>
      <c r="F19" s="5"/>
    </row>
    <row r="20" spans="1:6">
      <c r="A20" s="7" t="s">
        <v>81</v>
      </c>
      <c r="B20" s="6" t="s">
        <v>80</v>
      </c>
      <c r="C20" s="5"/>
      <c r="D20" s="5"/>
      <c r="E20" s="5"/>
      <c r="F20" s="5"/>
    </row>
    <row r="21" spans="1:6">
      <c r="A21" s="7" t="s">
        <v>79</v>
      </c>
      <c r="B21" s="6" t="s">
        <v>78</v>
      </c>
      <c r="C21" s="5"/>
      <c r="D21" s="5"/>
      <c r="E21" s="5"/>
      <c r="F21" s="5"/>
    </row>
    <row r="22" spans="1:6">
      <c r="A22" s="7" t="s">
        <v>77</v>
      </c>
      <c r="B22" s="6" t="s">
        <v>76</v>
      </c>
      <c r="C22" s="5"/>
      <c r="D22" s="5"/>
      <c r="E22" s="5"/>
      <c r="F22" s="5"/>
    </row>
    <row r="23" spans="1:6">
      <c r="A23" s="7" t="s">
        <v>75</v>
      </c>
      <c r="B23" s="6" t="s">
        <v>74</v>
      </c>
      <c r="C23" s="5"/>
      <c r="D23" s="5"/>
      <c r="E23" s="5"/>
      <c r="F23" s="5"/>
    </row>
    <row r="24" spans="1:6">
      <c r="A24" s="7" t="s">
        <v>73</v>
      </c>
      <c r="B24" s="6" t="s">
        <v>72</v>
      </c>
      <c r="C24" s="5"/>
      <c r="D24" s="5"/>
      <c r="E24" s="5"/>
      <c r="F24" s="5"/>
    </row>
    <row r="25" spans="1:6">
      <c r="A25" s="7" t="s">
        <v>71</v>
      </c>
      <c r="B25" s="6" t="s">
        <v>70</v>
      </c>
      <c r="C25" s="5"/>
      <c r="D25" s="5"/>
      <c r="E25" s="5"/>
      <c r="F25" s="5"/>
    </row>
    <row r="26" spans="1:6">
      <c r="A26" s="7" t="s">
        <v>69</v>
      </c>
      <c r="B26" s="6" t="s">
        <v>68</v>
      </c>
      <c r="C26" s="9"/>
      <c r="D26" s="9"/>
      <c r="E26" s="9"/>
      <c r="F26" s="9"/>
    </row>
    <row r="27" spans="1:6" ht="15" customHeight="1">
      <c r="A27" s="18" t="s">
        <v>67</v>
      </c>
      <c r="B27" s="19">
        <v>5</v>
      </c>
      <c r="C27" s="20">
        <f>SUM(C29:C32)</f>
        <v>0</v>
      </c>
      <c r="D27" s="20">
        <f>SUM(D29:D32)</f>
        <v>0</v>
      </c>
      <c r="E27" s="20">
        <f>SUM(E29:E32)</f>
        <v>0</v>
      </c>
      <c r="F27" s="20">
        <f>SUM(F29:F32)</f>
        <v>0</v>
      </c>
    </row>
    <row r="28" spans="1:6">
      <c r="A28" s="7" t="s">
        <v>56</v>
      </c>
      <c r="B28" s="8"/>
      <c r="C28" s="5"/>
      <c r="D28" s="5"/>
      <c r="E28" s="5"/>
      <c r="F28" s="5"/>
    </row>
    <row r="29" spans="1:6">
      <c r="A29" s="7" t="s">
        <v>66</v>
      </c>
      <c r="B29" s="6" t="s">
        <v>65</v>
      </c>
      <c r="C29" s="5"/>
      <c r="D29" s="5"/>
      <c r="E29" s="5"/>
      <c r="F29" s="5"/>
    </row>
    <row r="30" spans="1:6" ht="15" customHeight="1">
      <c r="A30" s="7" t="s">
        <v>64</v>
      </c>
      <c r="B30" s="6" t="s">
        <v>63</v>
      </c>
      <c r="C30" s="5"/>
      <c r="D30" s="5"/>
      <c r="E30" s="5"/>
      <c r="F30" s="5"/>
    </row>
    <row r="31" spans="1:6">
      <c r="A31" s="7" t="s">
        <v>62</v>
      </c>
      <c r="B31" s="6" t="s">
        <v>61</v>
      </c>
      <c r="C31" s="5"/>
      <c r="D31" s="5"/>
      <c r="E31" s="5"/>
      <c r="F31" s="5"/>
    </row>
    <row r="32" spans="1:6">
      <c r="A32" s="7" t="s">
        <v>60</v>
      </c>
      <c r="B32" s="6" t="s">
        <v>59</v>
      </c>
      <c r="C32" s="5"/>
      <c r="D32" s="5"/>
      <c r="E32" s="5"/>
      <c r="F32" s="5"/>
    </row>
    <row r="33" spans="1:6">
      <c r="A33" s="7" t="s">
        <v>58</v>
      </c>
      <c r="B33" s="12">
        <v>6</v>
      </c>
      <c r="C33" s="9"/>
      <c r="D33" s="9"/>
      <c r="E33" s="9"/>
      <c r="F33" s="9"/>
    </row>
    <row r="34" spans="1:6">
      <c r="A34" s="18" t="s">
        <v>57</v>
      </c>
      <c r="B34" s="19">
        <v>7</v>
      </c>
      <c r="C34" s="20">
        <f>SUM(C36:C37)</f>
        <v>0</v>
      </c>
      <c r="D34" s="20">
        <f>SUM(D36:D37)</f>
        <v>0</v>
      </c>
      <c r="E34" s="20">
        <f>SUM(E36:E37)</f>
        <v>0</v>
      </c>
      <c r="F34" s="20">
        <f>SUM(F36:F37)</f>
        <v>0</v>
      </c>
    </row>
    <row r="35" spans="1:6">
      <c r="A35" s="7" t="s">
        <v>56</v>
      </c>
      <c r="B35" s="10"/>
      <c r="C35" s="5"/>
      <c r="D35" s="5"/>
      <c r="E35" s="5"/>
      <c r="F35" s="5"/>
    </row>
    <row r="36" spans="1:6">
      <c r="A36" s="7" t="s">
        <v>55</v>
      </c>
      <c r="B36" s="6" t="s">
        <v>54</v>
      </c>
      <c r="C36" s="5"/>
      <c r="D36" s="5"/>
      <c r="E36" s="5"/>
      <c r="F36" s="5"/>
    </row>
    <row r="37" spans="1:6" ht="25.5">
      <c r="A37" s="7" t="s">
        <v>53</v>
      </c>
      <c r="B37" s="6" t="s">
        <v>52</v>
      </c>
      <c r="C37" s="5"/>
      <c r="D37" s="5"/>
      <c r="E37" s="5"/>
      <c r="F37" s="5"/>
    </row>
    <row r="38" spans="1:6">
      <c r="A38" s="7" t="s">
        <v>51</v>
      </c>
      <c r="B38" s="8">
        <v>8</v>
      </c>
      <c r="C38" s="9"/>
      <c r="D38" s="9"/>
      <c r="E38" s="9"/>
      <c r="F38" s="9"/>
    </row>
    <row r="39" spans="1:6">
      <c r="A39" s="7" t="s">
        <v>50</v>
      </c>
      <c r="B39" s="8">
        <v>9</v>
      </c>
      <c r="C39" s="9"/>
      <c r="D39" s="9"/>
      <c r="E39" s="9"/>
      <c r="F39" s="9"/>
    </row>
    <row r="40" spans="1:6">
      <c r="A40" s="7" t="s">
        <v>49</v>
      </c>
      <c r="B40" s="8">
        <v>10</v>
      </c>
      <c r="C40" s="9"/>
      <c r="D40" s="9"/>
      <c r="E40" s="9"/>
      <c r="F40" s="9"/>
    </row>
    <row r="41" spans="1:6">
      <c r="A41" s="7" t="s">
        <v>48</v>
      </c>
      <c r="B41" s="8">
        <v>11</v>
      </c>
      <c r="C41" s="9"/>
      <c r="D41" s="9"/>
      <c r="E41" s="9"/>
      <c r="F41" s="9"/>
    </row>
    <row r="42" spans="1:6">
      <c r="A42" s="7" t="s">
        <v>47</v>
      </c>
      <c r="B42" s="8">
        <v>12</v>
      </c>
      <c r="C42" s="9"/>
      <c r="D42" s="9"/>
      <c r="E42" s="9"/>
      <c r="F42" s="9"/>
    </row>
    <row r="43" spans="1:6">
      <c r="A43" s="26" t="s">
        <v>46</v>
      </c>
      <c r="B43" s="33">
        <v>13</v>
      </c>
      <c r="C43" s="34">
        <f>C16+C18+C27+C33+C34+C38+C39+C40+C41+C42</f>
        <v>0</v>
      </c>
      <c r="D43" s="34">
        <f>D16+D18+D27+D33+D34+D38+D39+D40+D41+D42</f>
        <v>0</v>
      </c>
      <c r="E43" s="34">
        <f>E16+E18+E27+E33+E34+E38+E39+E40+E41+E42</f>
        <v>0</v>
      </c>
      <c r="F43" s="34">
        <f>F16+F18+F27+F33+F34+F38+F39+F40+F41+F42</f>
        <v>0</v>
      </c>
    </row>
    <row r="44" spans="1:6">
      <c r="A44" s="18"/>
      <c r="B44" s="19"/>
      <c r="C44" s="20"/>
      <c r="D44" s="20"/>
      <c r="E44" s="20"/>
      <c r="F44" s="20"/>
    </row>
    <row r="45" spans="1:6">
      <c r="A45" s="7" t="s">
        <v>45</v>
      </c>
      <c r="B45" s="8">
        <v>14</v>
      </c>
      <c r="C45" s="9"/>
      <c r="D45" s="9"/>
      <c r="E45" s="9"/>
      <c r="F45" s="9"/>
    </row>
    <row r="46" spans="1:6">
      <c r="A46" s="11" t="s">
        <v>44</v>
      </c>
      <c r="B46" s="8">
        <v>15</v>
      </c>
      <c r="C46" s="9">
        <f>SUM(C48:C50)</f>
        <v>0</v>
      </c>
      <c r="D46" s="9">
        <f>SUM(D48:D50)</f>
        <v>0</v>
      </c>
      <c r="E46" s="9">
        <f>SUM(E48:E50)</f>
        <v>0</v>
      </c>
      <c r="F46" s="9">
        <f>SUM(F48:F50)</f>
        <v>0</v>
      </c>
    </row>
    <row r="47" spans="1:6">
      <c r="A47" s="7" t="s">
        <v>21</v>
      </c>
      <c r="B47" s="10"/>
      <c r="C47" s="5"/>
      <c r="D47" s="5"/>
      <c r="E47" s="5"/>
      <c r="F47" s="5"/>
    </row>
    <row r="48" spans="1:6">
      <c r="A48" s="7" t="s">
        <v>43</v>
      </c>
      <c r="B48" s="6" t="s">
        <v>42</v>
      </c>
      <c r="C48" s="5"/>
      <c r="D48" s="5"/>
      <c r="E48" s="5"/>
      <c r="F48" s="5"/>
    </row>
    <row r="49" spans="1:6">
      <c r="A49" s="7" t="s">
        <v>41</v>
      </c>
      <c r="B49" s="6" t="s">
        <v>40</v>
      </c>
      <c r="C49" s="5"/>
      <c r="D49" s="5"/>
      <c r="E49" s="5"/>
      <c r="F49" s="5"/>
    </row>
    <row r="50" spans="1:6" ht="25.5">
      <c r="A50" s="11" t="s">
        <v>39</v>
      </c>
      <c r="B50" s="6" t="s">
        <v>38</v>
      </c>
      <c r="C50" s="5"/>
      <c r="D50" s="5"/>
      <c r="E50" s="5"/>
      <c r="F50" s="5"/>
    </row>
    <row r="51" spans="1:6">
      <c r="A51" s="7" t="s">
        <v>37</v>
      </c>
      <c r="B51" s="8"/>
      <c r="C51" s="5"/>
      <c r="D51" s="5"/>
      <c r="E51" s="5"/>
      <c r="F51" s="5"/>
    </row>
    <row r="52" spans="1:6">
      <c r="A52" s="18" t="s">
        <v>36</v>
      </c>
      <c r="B52" s="19">
        <v>16</v>
      </c>
      <c r="C52" s="20">
        <f>C54+C55+C56+C57+C58+C59</f>
        <v>0</v>
      </c>
      <c r="D52" s="20">
        <f>D54+D55+D56+D57+D58+D59</f>
        <v>0</v>
      </c>
      <c r="E52" s="20">
        <f>E54+E55+E56+E57+E58+E59</f>
        <v>0</v>
      </c>
      <c r="F52" s="20">
        <f>F54+F55+F56+F57+F58+F59</f>
        <v>0</v>
      </c>
    </row>
    <row r="53" spans="1:6">
      <c r="A53" s="7" t="s">
        <v>35</v>
      </c>
      <c r="B53" s="10"/>
      <c r="C53" s="5"/>
      <c r="D53" s="5"/>
      <c r="E53" s="5"/>
      <c r="F53" s="5"/>
    </row>
    <row r="54" spans="1:6">
      <c r="A54" s="7" t="s">
        <v>34</v>
      </c>
      <c r="B54" s="6" t="s">
        <v>33</v>
      </c>
      <c r="C54" s="5"/>
      <c r="D54" s="5"/>
      <c r="E54" s="5"/>
      <c r="F54" s="5"/>
    </row>
    <row r="55" spans="1:6">
      <c r="A55" s="7" t="s">
        <v>32</v>
      </c>
      <c r="B55" s="6" t="s">
        <v>31</v>
      </c>
      <c r="C55" s="5"/>
      <c r="D55" s="5"/>
      <c r="E55" s="5"/>
      <c r="F55" s="5"/>
    </row>
    <row r="56" spans="1:6">
      <c r="A56" s="7" t="s">
        <v>30</v>
      </c>
      <c r="B56" s="6" t="s">
        <v>29</v>
      </c>
      <c r="C56" s="5"/>
      <c r="D56" s="5"/>
      <c r="E56" s="5"/>
      <c r="F56" s="5"/>
    </row>
    <row r="57" spans="1:6">
      <c r="A57" s="7" t="s">
        <v>28</v>
      </c>
      <c r="B57" s="6" t="s">
        <v>27</v>
      </c>
      <c r="C57" s="5"/>
      <c r="D57" s="5"/>
      <c r="E57" s="5"/>
      <c r="F57" s="5"/>
    </row>
    <row r="58" spans="1:6">
      <c r="A58" s="7" t="s">
        <v>26</v>
      </c>
      <c r="B58" s="6" t="s">
        <v>25</v>
      </c>
      <c r="C58" s="5"/>
      <c r="D58" s="5"/>
      <c r="E58" s="5"/>
      <c r="F58" s="5"/>
    </row>
    <row r="59" spans="1:6">
      <c r="A59" s="7" t="s">
        <v>24</v>
      </c>
      <c r="B59" s="6" t="s">
        <v>23</v>
      </c>
      <c r="C59" s="9"/>
      <c r="D59" s="9"/>
      <c r="E59" s="9"/>
      <c r="F59" s="9"/>
    </row>
    <row r="60" spans="1:6">
      <c r="A60" s="18" t="s">
        <v>22</v>
      </c>
      <c r="B60" s="19">
        <v>17</v>
      </c>
      <c r="C60" s="20">
        <f>SUM(C62:C65)</f>
        <v>0</v>
      </c>
      <c r="D60" s="20">
        <f>SUM(D62:D65)</f>
        <v>0</v>
      </c>
      <c r="E60" s="20">
        <f>SUM(E62:E65)</f>
        <v>0</v>
      </c>
      <c r="F60" s="20">
        <f>SUM(F62:F65)</f>
        <v>0</v>
      </c>
    </row>
    <row r="61" spans="1:6">
      <c r="A61" s="7" t="s">
        <v>21</v>
      </c>
      <c r="B61" s="10"/>
      <c r="C61" s="5"/>
      <c r="D61" s="5"/>
      <c r="E61" s="5"/>
      <c r="F61" s="5"/>
    </row>
    <row r="62" spans="1:6" ht="13.5" customHeight="1">
      <c r="A62" s="7" t="s">
        <v>20</v>
      </c>
      <c r="B62" s="6" t="s">
        <v>19</v>
      </c>
      <c r="C62" s="5"/>
      <c r="D62" s="5"/>
      <c r="E62" s="5"/>
      <c r="F62" s="5"/>
    </row>
    <row r="63" spans="1:6" ht="14.25" customHeight="1">
      <c r="A63" s="7" t="s">
        <v>18</v>
      </c>
      <c r="B63" s="6" t="s">
        <v>17</v>
      </c>
      <c r="C63" s="5"/>
      <c r="D63" s="5"/>
      <c r="E63" s="5"/>
      <c r="F63" s="5"/>
    </row>
    <row r="64" spans="1:6">
      <c r="A64" s="7" t="s">
        <v>16</v>
      </c>
      <c r="B64" s="6" t="s">
        <v>15</v>
      </c>
      <c r="C64" s="5"/>
      <c r="D64" s="5"/>
      <c r="E64" s="5"/>
      <c r="F64" s="5"/>
    </row>
    <row r="65" spans="1:6">
      <c r="A65" s="7" t="s">
        <v>14</v>
      </c>
      <c r="B65" s="6" t="s">
        <v>13</v>
      </c>
      <c r="C65" s="5"/>
      <c r="D65" s="5"/>
      <c r="E65" s="5"/>
      <c r="F65" s="5"/>
    </row>
    <row r="66" spans="1:6">
      <c r="A66" s="7" t="s">
        <v>12</v>
      </c>
      <c r="B66" s="8">
        <v>18</v>
      </c>
      <c r="C66" s="9"/>
      <c r="D66" s="9"/>
      <c r="E66" s="9"/>
      <c r="F66" s="9"/>
    </row>
    <row r="67" spans="1:6">
      <c r="A67" s="26" t="s">
        <v>11</v>
      </c>
      <c r="B67" s="27">
        <v>19</v>
      </c>
      <c r="C67" s="28">
        <f>C45+C46+C52+C60+C66</f>
        <v>0</v>
      </c>
      <c r="D67" s="28">
        <f>D45+D46+D52+D60+D66</f>
        <v>0</v>
      </c>
      <c r="E67" s="28">
        <f>E45+E46+E52+E60+E66</f>
        <v>0</v>
      </c>
      <c r="F67" s="28">
        <f>F45+F46+F52+F60+F66</f>
        <v>0</v>
      </c>
    </row>
    <row r="68" spans="1:6">
      <c r="A68" s="35"/>
      <c r="B68" s="36"/>
      <c r="C68" s="37"/>
      <c r="D68" s="37"/>
      <c r="E68" s="37"/>
      <c r="F68" s="37"/>
    </row>
    <row r="69" spans="1:6" ht="14.25" customHeight="1">
      <c r="A69" s="18" t="s">
        <v>10</v>
      </c>
      <c r="B69" s="19">
        <v>20</v>
      </c>
      <c r="C69" s="20">
        <f>C43-C67</f>
        <v>0</v>
      </c>
      <c r="D69" s="20">
        <f>D43-D67</f>
        <v>0</v>
      </c>
      <c r="E69" s="20">
        <f>E43-E67</f>
        <v>0</v>
      </c>
      <c r="F69" s="20">
        <f>F43-F67</f>
        <v>0</v>
      </c>
    </row>
    <row r="70" spans="1:6" ht="14.25" customHeight="1">
      <c r="A70" s="18"/>
      <c r="B70" s="19"/>
      <c r="C70" s="20"/>
      <c r="D70" s="20"/>
      <c r="E70" s="20"/>
      <c r="F70" s="20"/>
    </row>
    <row r="71" spans="1:6">
      <c r="A71" s="7" t="s">
        <v>9</v>
      </c>
      <c r="B71" s="8">
        <v>21</v>
      </c>
      <c r="C71" s="5"/>
      <c r="D71" s="5"/>
      <c r="E71" s="5"/>
      <c r="F71" s="5"/>
    </row>
    <row r="72" spans="1:6" ht="14.25" customHeight="1">
      <c r="A72" s="22" t="s">
        <v>8</v>
      </c>
      <c r="B72" s="19">
        <v>22</v>
      </c>
      <c r="C72" s="20">
        <f>C69-C71</f>
        <v>0</v>
      </c>
      <c r="D72" s="20">
        <f>D69-D71</f>
        <v>0</v>
      </c>
      <c r="E72" s="20">
        <f>E69-E71</f>
        <v>0</v>
      </c>
      <c r="F72" s="20">
        <f>F69-F71</f>
        <v>0</v>
      </c>
    </row>
    <row r="73" spans="1:6">
      <c r="A73" s="29" t="s">
        <v>7</v>
      </c>
      <c r="B73" s="30">
        <v>23</v>
      </c>
      <c r="C73" s="31"/>
      <c r="D73" s="31"/>
      <c r="E73" s="31"/>
      <c r="F73" s="31"/>
    </row>
    <row r="74" spans="1:6">
      <c r="A74" s="7"/>
      <c r="B74" s="8"/>
      <c r="C74" s="5"/>
      <c r="D74" s="5"/>
      <c r="E74" s="5"/>
      <c r="F74" s="5"/>
    </row>
    <row r="75" spans="1:6">
      <c r="A75" s="26" t="s">
        <v>6</v>
      </c>
      <c r="B75" s="32" t="s">
        <v>5</v>
      </c>
      <c r="C75" s="28">
        <f>C72+C73</f>
        <v>0</v>
      </c>
      <c r="D75" s="28">
        <f>D72+D73</f>
        <v>0</v>
      </c>
      <c r="E75" s="28">
        <f>E72+E73</f>
        <v>0</v>
      </c>
      <c r="F75" s="28">
        <f>F72+F73</f>
        <v>0</v>
      </c>
    </row>
    <row r="76" spans="1:6">
      <c r="D76" s="4"/>
    </row>
    <row r="77" spans="1:6">
      <c r="A77" s="2"/>
      <c r="B77" s="3"/>
      <c r="C77" s="2"/>
      <c r="D77" s="2"/>
      <c r="E77" s="2"/>
      <c r="F77" s="2"/>
    </row>
    <row r="78" spans="1:6">
      <c r="A78" s="2"/>
      <c r="B78" s="3"/>
      <c r="C78" s="2"/>
      <c r="D78" s="2"/>
      <c r="E78" s="2"/>
      <c r="F78" s="2"/>
    </row>
    <row r="79" spans="1:6" ht="13.5" customHeight="1">
      <c r="A79" s="38"/>
      <c r="B79" s="38"/>
      <c r="C79" s="38"/>
      <c r="D79" s="38"/>
      <c r="E79" s="38"/>
      <c r="F79" s="2"/>
    </row>
    <row r="80" spans="1:6" ht="13.5" customHeight="1">
      <c r="A80" s="15"/>
      <c r="B80" s="15"/>
      <c r="C80" s="15"/>
      <c r="D80" s="15"/>
      <c r="E80" s="15"/>
      <c r="F80" s="2"/>
    </row>
    <row r="81" spans="1:6" s="2" customFormat="1">
      <c r="D81" s="1"/>
      <c r="E81" s="1"/>
      <c r="F81" s="1"/>
    </row>
    <row r="82" spans="1:6" s="2" customFormat="1">
      <c r="D82" s="1"/>
      <c r="E82" s="1"/>
      <c r="F82" s="1"/>
    </row>
    <row r="83" spans="1:6">
      <c r="A83" s="1" t="s">
        <v>4</v>
      </c>
    </row>
    <row r="85" spans="1:6">
      <c r="A85" s="1" t="s">
        <v>3</v>
      </c>
    </row>
    <row r="87" spans="1:6">
      <c r="A87" s="1" t="s">
        <v>2</v>
      </c>
    </row>
    <row r="89" spans="1:6">
      <c r="A89" s="1" t="s">
        <v>1</v>
      </c>
    </row>
    <row r="91" spans="1:6">
      <c r="A91" s="1" t="s">
        <v>0</v>
      </c>
    </row>
  </sheetData>
  <mergeCells count="6">
    <mergeCell ref="A79:E79"/>
    <mergeCell ref="E1:F1"/>
    <mergeCell ref="A5:F5"/>
    <mergeCell ref="A6:F6"/>
    <mergeCell ref="A3:F3"/>
    <mergeCell ref="A4:F4"/>
  </mergeCells>
  <pageMargins left="0.15748031496062992" right="0.15748031496062992" top="0.98425196850393704" bottom="0.98425196850393704" header="0.51181102362204722" footer="0.51181102362204722"/>
  <pageSetup paperSize="8" scale="4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Ф2 Казпочта</vt:lpstr>
      <vt:lpstr>'Ф2 Казпочта'!Область_печати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Марат Мадыбаев</cp:lastModifiedBy>
  <dcterms:created xsi:type="dcterms:W3CDTF">2015-02-03T03:38:52Z</dcterms:created>
  <dcterms:modified xsi:type="dcterms:W3CDTF">2015-03-30T07:35:16Z</dcterms:modified>
</cp:coreProperties>
</file>