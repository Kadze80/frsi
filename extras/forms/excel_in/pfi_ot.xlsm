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5600" windowHeight="11760"/>
  </bookViews>
  <sheets>
    <sheet name="ОТ_ПФИ" sheetId="1" r:id="rId1"/>
  </sheets>
  <calcPr calcId="125725"/>
</workbook>
</file>

<file path=xl/calcChain.xml><?xml version="1.0" encoding="utf-8"?>
<calcChain xmlns="http://schemas.openxmlformats.org/spreadsheetml/2006/main">
  <c r="E31" i="1"/>
  <c r="J22"/>
  <c r="J23"/>
  <c r="J24"/>
  <c r="J25"/>
  <c r="G15"/>
  <c r="J15" s="1"/>
  <c r="G16"/>
  <c r="J16" s="1"/>
  <c r="G17"/>
  <c r="J17" s="1"/>
  <c r="G18"/>
  <c r="J18" s="1"/>
  <c r="G19"/>
  <c r="J19" s="1"/>
  <c r="G20"/>
  <c r="J20" s="1"/>
  <c r="G21"/>
  <c r="J21" s="1"/>
  <c r="G22"/>
  <c r="G23"/>
  <c r="G24"/>
  <c r="G25"/>
  <c r="G26"/>
  <c r="J26" s="1"/>
  <c r="G27"/>
  <c r="J27" s="1"/>
  <c r="G28"/>
  <c r="J28" s="1"/>
  <c r="G29"/>
  <c r="J29" s="1"/>
  <c r="G30"/>
  <c r="J30" s="1"/>
  <c r="G13"/>
  <c r="J13" s="1"/>
  <c r="H31"/>
  <c r="G14" l="1"/>
  <c r="J14" s="1"/>
  <c r="J31" s="1"/>
  <c r="G31" l="1"/>
</calcChain>
</file>

<file path=xl/sharedStrings.xml><?xml version="1.0" encoding="utf-8"?>
<sst xmlns="http://schemas.openxmlformats.org/spreadsheetml/2006/main" count="76" uniqueCount="52">
  <si>
    <t xml:space="preserve">                                                                                                                                                                      Приложение 3
к Правилам расчета пруденциальных
нормативов для организатора торгов
</t>
  </si>
  <si>
    <t>Расшифровка производных финансовых инструментов, взвешенных с учетом кредитного риска</t>
  </si>
  <si>
    <t>___________________________________________________________________________________________________</t>
  </si>
  <si>
    <t>наименование организатора торгов</t>
  </si>
  <si>
    <t>по состоянию на «___» «_________________» 20__ года</t>
  </si>
  <si>
    <t>(в тысячах тенге)</t>
  </si>
  <si>
    <t>№</t>
  </si>
  <si>
    <t>Наименование статей</t>
  </si>
  <si>
    <t>Номинальная стоимость производных финансовых инструментов</t>
  </si>
  <si>
    <t>Коэффициент кредитного риска для производных финансовых инструментов в процентах</t>
  </si>
  <si>
    <t>Сумма с учетом кредитного риска для производных финансовых инструментов</t>
  </si>
  <si>
    <t>Рыночная стоимость производных финансовых инструментов</t>
  </si>
  <si>
    <t>Коэффициент кредитного риска для контрагента в процентах в соответствии с приложением 1 к настоящим Правилам</t>
  </si>
  <si>
    <t>Сумма к расчету</t>
  </si>
  <si>
    <t>5=3*4</t>
  </si>
  <si>
    <t>8=(5+6)*7</t>
  </si>
  <si>
    <t>Операции с производными финансовыми инструментами, связанные с государственными ценными бумагами, со сроком погашения до 1 (одного) года</t>
  </si>
  <si>
    <t>Операции с производными финансовыми инструментами, связанные с государственными ценными бумагами, со сроком погашения от 1 (одного) года до 5 (пяти) лет</t>
  </si>
  <si>
    <t>Операции с производными финансовыми инструментами, связанные с государственными ценными бумагами, со сроком погашения более 5 (пяти) лет</t>
  </si>
  <si>
    <t>Операции с производными финансовыми инструментами, связанные с валютными сделками, со сроком погашения до 1 (одного) года</t>
  </si>
  <si>
    <t>Операции с производными финансовыми инструментами, связанные с валютными сделками, со сроком погашения от 1 (одного) года до 5 (пяти) лет</t>
  </si>
  <si>
    <t>Операции с производными финансовыми инструментами, связанные с валютными сделками, со сроком погашения более 5 (пяти) лет</t>
  </si>
  <si>
    <t>Операции с производными финансовыми инструментами, связанные с процентными сделками, со сроком погашения до 1 (одного) года</t>
  </si>
  <si>
    <t>Операции с производными финансовыми инструментами, связанные с процентными сделками, со сроком погашения от 1 (одного) года до 5 (пяти) лет</t>
  </si>
  <si>
    <t>Операции с производными финансовыми инструментами, связанные с процентными сделками, со сроком погашения более 5 (пяти) лет</t>
  </si>
  <si>
    <t>Операции с производными финансовыми инструментами, связанные с не государственными ценными бумагами, со сроком погашения до 1 (одного) года</t>
  </si>
  <si>
    <t>Операции с производными финансовыми инструментами, связанные с не государственными ценными бумагами, со сроком погашения от 1 (одного) года до 5 (пяти) лет</t>
  </si>
  <si>
    <t>Операции с производными финансовыми инструментами, связанные с не государственными ценными бумагами, со сроком погашения более 5 (пяти) лет</t>
  </si>
  <si>
    <t>Операции с производными финансовыми инструментами, связанные с драгоценными металлами, со сроком погашения до 1 (одного) года</t>
  </si>
  <si>
    <t>Операции с производными финансовыми инструментами, связанные с драгоценными металлами, со сроком погашения от 1 (одного) года до 5 (пяти) лет</t>
  </si>
  <si>
    <t>Операции с производными финансовыми инструментами, связанные с драгоценными металлами, со сроком погашения более 5 (пяти) лет</t>
  </si>
  <si>
    <t>Операции с производными финансовыми инструментами, связанные с прочими операциями, со сроком погашения до 1 (одного) года</t>
  </si>
  <si>
    <t>Операции с производными финансовыми инструментами, связанные с прочими операциями, со сроком погашения от 1 (одного) года до 5 (пяти) лет</t>
  </si>
  <si>
    <t>Операции с производными финансовыми инструментами, связанные с прочими операциями, со сроком погашения более 5 (пяти) лет</t>
  </si>
  <si>
    <t>Итого производные финансовые инструменты, взвешенные с учетом кредитного риска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</si>
  <si>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</si>
  <si>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</si>
  <si>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</si>
  <si>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</si>
  <si>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</si>
  <si>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</si>
  <si>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</si>
  <si>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</si>
  <si>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</si>
  <si>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</si>
  <si>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</si>
  <si>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</si>
  <si>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</si>
  <si>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</si>
  <si>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</si>
  <si>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</si>
  <si>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"pfi_ot", "xls_version":"3","begin_date":"01.01.2014", "tables": [{"name": "array", "key": "num", "position": "1","positionKey": "2", "columns": [
{"name": "nom_val", "type": "n0", "position": "4"},
{"name": "market_val", "type": "n0", "position": "7"},
{"name": "ratio_credrisk_ca_perc", "type": "n0", "position": "8"}
]}]}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</si>
</sst>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0">
    <xf numFmtId="0" fontId="0" fillId="0" borderId="0" xfId="0"/>
    <xf numFmtId="0" fontId="0" fillId="0" borderId="0" xfId="0" applyProtection="1"/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justify" vertical="center" wrapText="1"/>
    </xf>
    <xf numFmtId="0" fontId="0" fillId="0" borderId="1" xfId="0" applyBorder="1" applyProtection="1"/>
    <xf numFmtId="0" fontId="1" fillId="0" borderId="3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horizontal="justify"/>
    </xf>
    <xf numFmtId="0" fontId="2" fillId="0" borderId="0" xfId="0" applyFont="1" applyProtection="1"/>
    <xf numFmtId="3" fontId="1" fillId="0" borderId="1" xfId="0" applyNumberFormat="1" applyFont="1" applyBorder="1" applyAlignment="1" applyProtection="1">
      <alignment horizontal="right"/>
    </xf>
    <xf numFmtId="3" fontId="4" fillId="0" borderId="1" xfId="0" applyNumberFormat="1" applyFont="1" applyBorder="1" applyAlignment="1" applyProtection="1">
      <alignment horizontal="right"/>
    </xf>
    <xf numFmtId="3" fontId="1" fillId="2" borderId="1" xfId="0" applyNumberFormat="1" applyFont="1" applyFill="1" applyBorder="1" applyAlignment="1" applyProtection="1">
      <alignment horizontal="right"/>
      <protection locked="0"/>
    </xf>
    <xf numFmtId="0" fontId="2" fillId="0" borderId="0" xfId="1" applyFont="1" applyProtection="1"/>
    <xf numFmtId="0" fontId="6" fillId="0" borderId="0" xfId="0" applyFont="1" applyFill="1" applyAlignment="1" applyProtection="1">
      <alignment horizontal="left"/>
    </xf>
    <xf numFmtId="0" fontId="2" fillId="0" borderId="0" xfId="1" applyFont="1" applyFill="1" applyAlignment="1" applyProtection="1">
      <alignment horizontal="center"/>
    </xf>
    <xf numFmtId="0" fontId="2" fillId="0" borderId="0" xfId="1" applyFont="1" applyFill="1" applyAlignment="1" applyProtection="1">
      <alignment horizontal="left" vertical="top"/>
    </xf>
    <xf numFmtId="0" fontId="2" fillId="0" borderId="0" xfId="1" applyFont="1" applyFill="1" applyAlignment="1" applyProtection="1">
      <alignment horizontal="left"/>
    </xf>
    <xf numFmtId="0" fontId="2" fillId="0" borderId="0" xfId="1" applyFont="1" applyFill="1" applyProtection="1"/>
    <xf numFmtId="0" fontId="0" fillId="0" borderId="0" xfId="0" applyAlignment="1" applyProtection="1">
      <alignment wrapText="1"/>
    </xf>
    <xf numFmtId="0" fontId="1" fillId="0" borderId="0" xfId="0" applyFont="1" applyFill="1" applyAlignment="1" applyProtection="1">
      <alignment horizontal="right" wrapText="1" shrinkToFit="1"/>
    </xf>
    <xf numFmtId="0" fontId="2" fillId="0" borderId="0" xfId="0" applyFont="1" applyFill="1" applyAlignment="1" applyProtection="1">
      <alignment horizontal="right" wrapText="1" shrinkToFit="1"/>
    </xf>
    <xf numFmtId="0" fontId="2" fillId="0" borderId="0" xfId="0" applyFont="1" applyFill="1" applyAlignment="1" applyProtection="1">
      <alignment horizontal="right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 wrapText="1"/>
    </xf>
    <xf numFmtId="0" fontId="3" fillId="0" borderId="0" xfId="0" applyFont="1" applyFill="1" applyAlignment="1" applyProtection="1">
      <alignment horizontal="center" wrapText="1" shrinkToFit="1"/>
    </xf>
    <xf numFmtId="0" fontId="2" fillId="0" borderId="0" xfId="0" applyFont="1" applyFill="1" applyAlignment="1" applyProtection="1">
      <alignment horizontal="center" wrapText="1" shrinkToFit="1"/>
    </xf>
    <xf numFmtId="0" fontId="2" fillId="0" borderId="0" xfId="0" applyFont="1" applyFill="1" applyAlignment="1" applyProtection="1">
      <alignment wrapText="1"/>
    </xf>
    <xf numFmtId="0" fontId="1" fillId="0" borderId="0" xfId="0" applyFont="1" applyFill="1" applyAlignment="1" applyProtection="1">
      <alignment horizontal="center" wrapText="1" shrinkToFit="1"/>
    </xf>
    <xf numFmtId="0" fontId="2" fillId="0" borderId="0" xfId="0" applyFont="1" applyFill="1" applyAlignment="1" applyProtection="1">
      <alignment horizontal="center" wrapText="1"/>
    </xf>
    <xf numFmtId="0" fontId="2" fillId="0" borderId="0" xfId="0" applyFont="1" applyFill="1" applyAlignment="1" applyProtection="1">
      <alignment wrapText="1" shrinkToFit="1"/>
    </xf>
    <xf numFmtId="0" fontId="2" fillId="0" borderId="0" xfId="1" applyFont="1" applyFill="1" applyAlignment="1" applyProtection="1">
      <alignment wrapText="1"/>
    </xf>
    <xf numFmtId="0" fontId="2" fillId="0" borderId="0" xfId="1" applyFont="1" applyFill="1" applyAlignment="1" applyProtection="1">
      <alignment horizontal="left" wrapText="1"/>
    </xf>
    <xf numFmtId="0" fontId="2" fillId="2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0" borderId="0" xfId="1" applyNumberFormat="1" applyFont="1" applyFill="1" applyAlignment="1" applyProtection="1">
      <alignment horizontal="left"/>
    </xf>
    <xf numFmtId="14" fontId="7" fillId="0" borderId="0" xfId="0" applyNumberFormat="1" applyFont="1" applyFill="1" applyAlignment="1" applyProtection="1">
      <alignment horizontal="left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51"/>
  <sheetViews>
    <sheetView tabSelected="1" workbookViewId="0">
      <pane ySplit="12" topLeftCell="A15" activePane="bottomLeft" state="frozen"/>
      <selection activeCell="B1" sqref="B1"/>
      <selection pane="bottomLeft" activeCell="C6" sqref="C6:I6"/>
    </sheetView>
  </sheetViews>
  <sheetFormatPr defaultColWidth="0" defaultRowHeight="15"/>
  <cols>
    <col min="1" max="2" width="10" style="1" hidden="1" customWidth="1"/>
    <col min="3" max="3" width="9.140625" style="1" customWidth="1"/>
    <col min="4" max="4" width="49.5703125" style="1" customWidth="1"/>
    <col min="5" max="5" width="20.7109375" style="1" customWidth="1"/>
    <col min="6" max="6" width="12.42578125" style="1" customWidth="1"/>
    <col min="7" max="10" width="20.7109375" style="1" customWidth="1"/>
    <col min="11" max="16384" width="9.140625" style="1" hidden="1"/>
  </cols>
  <sheetData>
    <row r="1" spans="1:10" ht="57.75" hidden="1" customHeight="1">
      <c r="A1" s="22" t="s">
        <v>51</v>
      </c>
    </row>
    <row r="2" spans="1:10" hidden="1">
      <c r="A2" s="1" t="s">
        <v>46</v>
      </c>
    </row>
    <row r="3" spans="1:10" ht="29.25" customHeight="1">
      <c r="C3" s="23" t="s">
        <v>0</v>
      </c>
      <c r="D3" s="24"/>
      <c r="E3" s="24"/>
      <c r="F3" s="24"/>
      <c r="G3" s="25"/>
      <c r="H3" s="25"/>
      <c r="I3" s="25"/>
      <c r="J3" s="26"/>
    </row>
    <row r="4" spans="1:10">
      <c r="C4" s="27"/>
      <c r="D4" s="27"/>
      <c r="E4" s="27"/>
      <c r="F4" s="27"/>
      <c r="G4" s="27"/>
      <c r="H4" s="27"/>
      <c r="I4" s="27"/>
      <c r="J4" s="26"/>
    </row>
    <row r="5" spans="1:10">
      <c r="C5" s="27"/>
      <c r="D5" s="27"/>
      <c r="E5" s="27"/>
      <c r="F5" s="27"/>
      <c r="G5" s="27"/>
      <c r="H5" s="27"/>
      <c r="I5" s="27"/>
      <c r="J5" s="26"/>
    </row>
    <row r="6" spans="1:10">
      <c r="C6" s="28" t="s">
        <v>1</v>
      </c>
      <c r="D6" s="29"/>
      <c r="E6" s="29"/>
      <c r="F6" s="29"/>
      <c r="G6" s="30"/>
      <c r="H6" s="30"/>
      <c r="I6" s="30"/>
      <c r="J6" s="2"/>
    </row>
    <row r="7" spans="1:10" hidden="1">
      <c r="C7" s="31" t="s">
        <v>2</v>
      </c>
      <c r="D7" s="29"/>
      <c r="E7" s="29"/>
      <c r="F7" s="29"/>
      <c r="G7" s="32"/>
      <c r="H7" s="32"/>
      <c r="I7" s="32"/>
      <c r="J7" s="2"/>
    </row>
    <row r="8" spans="1:10" hidden="1">
      <c r="C8" s="31" t="s">
        <v>3</v>
      </c>
      <c r="D8" s="33"/>
      <c r="E8" s="33"/>
      <c r="F8" s="33"/>
      <c r="G8" s="30"/>
      <c r="H8" s="30"/>
      <c r="I8" s="30"/>
      <c r="J8" s="2"/>
    </row>
    <row r="9" spans="1:10" hidden="1">
      <c r="C9" s="28" t="s">
        <v>4</v>
      </c>
      <c r="D9" s="33"/>
      <c r="E9" s="33"/>
      <c r="F9" s="33"/>
      <c r="G9" s="30"/>
      <c r="H9" s="30"/>
      <c r="I9" s="30"/>
      <c r="J9" s="2"/>
    </row>
    <row r="10" spans="1:10">
      <c r="C10" s="2"/>
      <c r="D10" s="2"/>
      <c r="E10" s="2"/>
      <c r="F10" s="2"/>
      <c r="G10" s="2"/>
      <c r="H10" s="2"/>
      <c r="I10" s="2"/>
      <c r="J10" s="3" t="s">
        <v>5</v>
      </c>
    </row>
    <row r="11" spans="1:10" ht="140.25" customHeight="1">
      <c r="C11" s="4" t="s">
        <v>6</v>
      </c>
      <c r="D11" s="4" t="s">
        <v>7</v>
      </c>
      <c r="E11" s="4" t="s">
        <v>8</v>
      </c>
      <c r="F11" s="4" t="s">
        <v>9</v>
      </c>
      <c r="G11" s="4" t="s">
        <v>10</v>
      </c>
      <c r="H11" s="4" t="s">
        <v>11</v>
      </c>
      <c r="I11" s="4" t="s">
        <v>12</v>
      </c>
      <c r="J11" s="4" t="s">
        <v>13</v>
      </c>
    </row>
    <row r="12" spans="1:10">
      <c r="B12" s="1" t="s">
        <v>39</v>
      </c>
      <c r="C12" s="5">
        <v>1</v>
      </c>
      <c r="D12" s="5">
        <v>2</v>
      </c>
      <c r="E12" s="5">
        <v>3</v>
      </c>
      <c r="F12" s="5">
        <v>4</v>
      </c>
      <c r="G12" s="5" t="s">
        <v>14</v>
      </c>
      <c r="H12" s="5">
        <v>6</v>
      </c>
      <c r="I12" s="4">
        <v>7</v>
      </c>
      <c r="J12" s="4" t="s">
        <v>15</v>
      </c>
    </row>
    <row r="13" spans="1:10" ht="38.25">
      <c r="B13" s="1" t="s">
        <v>40</v>
      </c>
      <c r="C13" s="6">
        <v>1</v>
      </c>
      <c r="D13" s="7" t="s">
        <v>16</v>
      </c>
      <c r="E13" s="15"/>
      <c r="F13" s="6">
        <v>0.02</v>
      </c>
      <c r="G13" s="13">
        <f>E13*F13/100</f>
        <v>0</v>
      </c>
      <c r="H13" s="15"/>
      <c r="I13" s="15"/>
      <c r="J13" s="13">
        <f>(G13+H13)*I13/100</f>
        <v>0</v>
      </c>
    </row>
    <row r="14" spans="1:10" ht="38.25">
      <c r="B14" s="1" t="s">
        <v>40</v>
      </c>
      <c r="C14" s="6">
        <v>2</v>
      </c>
      <c r="D14" s="7" t="s">
        <v>17</v>
      </c>
      <c r="E14" s="15"/>
      <c r="F14" s="6">
        <v>0.03</v>
      </c>
      <c r="G14" s="13">
        <f t="shared" ref="G14:G30" si="0">E14*F14/100</f>
        <v>0</v>
      </c>
      <c r="H14" s="15"/>
      <c r="I14" s="15"/>
      <c r="J14" s="13">
        <f t="shared" ref="J14:J30" si="1">(G14+H14)*I14/100</f>
        <v>0</v>
      </c>
    </row>
    <row r="15" spans="1:10" ht="38.25">
      <c r="B15" s="1" t="s">
        <v>40</v>
      </c>
      <c r="C15" s="6">
        <v>3</v>
      </c>
      <c r="D15" s="7" t="s">
        <v>18</v>
      </c>
      <c r="E15" s="15"/>
      <c r="F15" s="6">
        <v>0.04</v>
      </c>
      <c r="G15" s="13">
        <f t="shared" si="0"/>
        <v>0</v>
      </c>
      <c r="H15" s="15"/>
      <c r="I15" s="15"/>
      <c r="J15" s="13">
        <f t="shared" si="1"/>
        <v>0</v>
      </c>
    </row>
    <row r="16" spans="1:10" ht="38.25">
      <c r="B16" s="1" t="s">
        <v>40</v>
      </c>
      <c r="C16" s="6">
        <v>4</v>
      </c>
      <c r="D16" s="7" t="s">
        <v>19</v>
      </c>
      <c r="E16" s="15"/>
      <c r="F16" s="6">
        <v>0.05</v>
      </c>
      <c r="G16" s="13">
        <f t="shared" si="0"/>
        <v>0</v>
      </c>
      <c r="H16" s="15"/>
      <c r="I16" s="15"/>
      <c r="J16" s="13">
        <f t="shared" si="1"/>
        <v>0</v>
      </c>
    </row>
    <row r="17" spans="2:10" ht="38.25">
      <c r="B17" s="1" t="s">
        <v>40</v>
      </c>
      <c r="C17" s="6">
        <v>5</v>
      </c>
      <c r="D17" s="7" t="s">
        <v>20</v>
      </c>
      <c r="E17" s="15"/>
      <c r="F17" s="6">
        <v>7.0000000000000007E-2</v>
      </c>
      <c r="G17" s="13">
        <f t="shared" si="0"/>
        <v>0</v>
      </c>
      <c r="H17" s="15"/>
      <c r="I17" s="15"/>
      <c r="J17" s="13">
        <f t="shared" si="1"/>
        <v>0</v>
      </c>
    </row>
    <row r="18" spans="2:10" ht="38.25">
      <c r="B18" s="1" t="s">
        <v>40</v>
      </c>
      <c r="C18" s="6">
        <v>6</v>
      </c>
      <c r="D18" s="7" t="s">
        <v>21</v>
      </c>
      <c r="E18" s="15"/>
      <c r="F18" s="6">
        <v>0.09</v>
      </c>
      <c r="G18" s="13">
        <f t="shared" si="0"/>
        <v>0</v>
      </c>
      <c r="H18" s="15"/>
      <c r="I18" s="15"/>
      <c r="J18" s="13">
        <f t="shared" si="1"/>
        <v>0</v>
      </c>
    </row>
    <row r="19" spans="2:10" ht="38.25">
      <c r="B19" s="1" t="s">
        <v>40</v>
      </c>
      <c r="C19" s="6">
        <v>7</v>
      </c>
      <c r="D19" s="7" t="s">
        <v>22</v>
      </c>
      <c r="E19" s="15"/>
      <c r="F19" s="6">
        <v>0.03</v>
      </c>
      <c r="G19" s="13">
        <f t="shared" si="0"/>
        <v>0</v>
      </c>
      <c r="H19" s="15"/>
      <c r="I19" s="15"/>
      <c r="J19" s="13">
        <f t="shared" si="1"/>
        <v>0</v>
      </c>
    </row>
    <row r="20" spans="2:10" ht="38.25">
      <c r="B20" s="1" t="s">
        <v>40</v>
      </c>
      <c r="C20" s="6">
        <v>8</v>
      </c>
      <c r="D20" s="7" t="s">
        <v>23</v>
      </c>
      <c r="E20" s="15"/>
      <c r="F20" s="6">
        <v>0.06</v>
      </c>
      <c r="G20" s="13">
        <f t="shared" si="0"/>
        <v>0</v>
      </c>
      <c r="H20" s="15"/>
      <c r="I20" s="15"/>
      <c r="J20" s="13">
        <f t="shared" si="1"/>
        <v>0</v>
      </c>
    </row>
    <row r="21" spans="2:10" ht="38.25">
      <c r="B21" s="1" t="s">
        <v>40</v>
      </c>
      <c r="C21" s="6">
        <v>9</v>
      </c>
      <c r="D21" s="7" t="s">
        <v>24</v>
      </c>
      <c r="E21" s="15"/>
      <c r="F21" s="6">
        <v>0.09</v>
      </c>
      <c r="G21" s="13">
        <f t="shared" si="0"/>
        <v>0</v>
      </c>
      <c r="H21" s="15"/>
      <c r="I21" s="15"/>
      <c r="J21" s="13">
        <f t="shared" si="1"/>
        <v>0</v>
      </c>
    </row>
    <row r="22" spans="2:10" ht="38.25">
      <c r="B22" s="1" t="s">
        <v>40</v>
      </c>
      <c r="C22" s="6">
        <v>10</v>
      </c>
      <c r="D22" s="7" t="s">
        <v>25</v>
      </c>
      <c r="E22" s="15"/>
      <c r="F22" s="6">
        <v>0.06</v>
      </c>
      <c r="G22" s="13">
        <f t="shared" si="0"/>
        <v>0</v>
      </c>
      <c r="H22" s="15"/>
      <c r="I22" s="15"/>
      <c r="J22" s="13">
        <f t="shared" si="1"/>
        <v>0</v>
      </c>
    </row>
    <row r="23" spans="2:10" ht="38.25">
      <c r="B23" s="1" t="s">
        <v>40</v>
      </c>
      <c r="C23" s="6">
        <v>11</v>
      </c>
      <c r="D23" s="7" t="s">
        <v>26</v>
      </c>
      <c r="E23" s="15"/>
      <c r="F23" s="6">
        <v>0.08</v>
      </c>
      <c r="G23" s="13">
        <f t="shared" si="0"/>
        <v>0</v>
      </c>
      <c r="H23" s="15"/>
      <c r="I23" s="15"/>
      <c r="J23" s="13">
        <f t="shared" si="1"/>
        <v>0</v>
      </c>
    </row>
    <row r="24" spans="2:10" ht="38.25">
      <c r="B24" s="1" t="s">
        <v>40</v>
      </c>
      <c r="C24" s="6">
        <v>12</v>
      </c>
      <c r="D24" s="7" t="s">
        <v>27</v>
      </c>
      <c r="E24" s="15"/>
      <c r="F24" s="6">
        <v>0.1</v>
      </c>
      <c r="G24" s="13">
        <f t="shared" si="0"/>
        <v>0</v>
      </c>
      <c r="H24" s="15"/>
      <c r="I24" s="15"/>
      <c r="J24" s="13">
        <f t="shared" si="1"/>
        <v>0</v>
      </c>
    </row>
    <row r="25" spans="2:10" ht="38.25">
      <c r="B25" s="1" t="s">
        <v>40</v>
      </c>
      <c r="C25" s="6">
        <v>13</v>
      </c>
      <c r="D25" s="7" t="s">
        <v>28</v>
      </c>
      <c r="E25" s="15"/>
      <c r="F25" s="6">
        <v>7.0000000000000007E-2</v>
      </c>
      <c r="G25" s="13">
        <f t="shared" si="0"/>
        <v>0</v>
      </c>
      <c r="H25" s="15"/>
      <c r="I25" s="15"/>
      <c r="J25" s="13">
        <f t="shared" si="1"/>
        <v>0</v>
      </c>
    </row>
    <row r="26" spans="2:10" ht="38.25">
      <c r="B26" s="1" t="s">
        <v>40</v>
      </c>
      <c r="C26" s="6">
        <v>14</v>
      </c>
      <c r="D26" s="7" t="s">
        <v>29</v>
      </c>
      <c r="E26" s="15"/>
      <c r="F26" s="6">
        <v>7.0000000000000007E-2</v>
      </c>
      <c r="G26" s="13">
        <f t="shared" si="0"/>
        <v>0</v>
      </c>
      <c r="H26" s="15"/>
      <c r="I26" s="15"/>
      <c r="J26" s="13">
        <f t="shared" si="1"/>
        <v>0</v>
      </c>
    </row>
    <row r="27" spans="2:10" ht="38.25">
      <c r="B27" s="1" t="s">
        <v>40</v>
      </c>
      <c r="C27" s="6">
        <v>15</v>
      </c>
      <c r="D27" s="7" t="s">
        <v>30</v>
      </c>
      <c r="E27" s="15"/>
      <c r="F27" s="6">
        <v>0.08</v>
      </c>
      <c r="G27" s="13">
        <f t="shared" si="0"/>
        <v>0</v>
      </c>
      <c r="H27" s="15"/>
      <c r="I27" s="15"/>
      <c r="J27" s="13">
        <f t="shared" si="1"/>
        <v>0</v>
      </c>
    </row>
    <row r="28" spans="2:10" ht="38.25">
      <c r="B28" s="1" t="s">
        <v>40</v>
      </c>
      <c r="C28" s="6">
        <v>16</v>
      </c>
      <c r="D28" s="7" t="s">
        <v>31</v>
      </c>
      <c r="E28" s="15"/>
      <c r="F28" s="6">
        <v>0.1</v>
      </c>
      <c r="G28" s="13">
        <f t="shared" si="0"/>
        <v>0</v>
      </c>
      <c r="H28" s="15"/>
      <c r="I28" s="15"/>
      <c r="J28" s="13">
        <f t="shared" si="1"/>
        <v>0</v>
      </c>
    </row>
    <row r="29" spans="2:10" ht="38.25">
      <c r="B29" s="1" t="s">
        <v>40</v>
      </c>
      <c r="C29" s="6">
        <v>17</v>
      </c>
      <c r="D29" s="7" t="s">
        <v>32</v>
      </c>
      <c r="E29" s="15"/>
      <c r="F29" s="6">
        <v>0.12</v>
      </c>
      <c r="G29" s="13">
        <f t="shared" si="0"/>
        <v>0</v>
      </c>
      <c r="H29" s="15"/>
      <c r="I29" s="15"/>
      <c r="J29" s="13">
        <f t="shared" si="1"/>
        <v>0</v>
      </c>
    </row>
    <row r="30" spans="2:10" ht="38.25">
      <c r="B30" s="1" t="s">
        <v>40</v>
      </c>
      <c r="C30" s="6">
        <v>18</v>
      </c>
      <c r="D30" s="7" t="s">
        <v>33</v>
      </c>
      <c r="E30" s="15"/>
      <c r="F30" s="6">
        <v>0.15</v>
      </c>
      <c r="G30" s="13">
        <f t="shared" si="0"/>
        <v>0</v>
      </c>
      <c r="H30" s="15"/>
      <c r="I30" s="15"/>
      <c r="J30" s="13">
        <f t="shared" si="1"/>
        <v>0</v>
      </c>
    </row>
    <row r="31" spans="2:10" ht="26.25" customHeight="1">
      <c r="B31" s="1" t="s">
        <v>41</v>
      </c>
      <c r="C31" s="8"/>
      <c r="D31" s="9" t="s">
        <v>34</v>
      </c>
      <c r="E31" s="14">
        <f>SUM(E13:E30)</f>
        <v>0</v>
      </c>
      <c r="F31" s="10"/>
      <c r="G31" s="14">
        <f>SUM(G13:G30)</f>
        <v>0</v>
      </c>
      <c r="H31" s="14">
        <f>SUM(H13:H30)</f>
        <v>0</v>
      </c>
      <c r="I31" s="14"/>
      <c r="J31" s="14">
        <f>SUM(J13:J30)</f>
        <v>0</v>
      </c>
    </row>
    <row r="32" spans="2:10">
      <c r="C32" s="11"/>
      <c r="D32" s="11"/>
      <c r="E32" s="2"/>
      <c r="F32" s="2"/>
      <c r="G32" s="2"/>
      <c r="H32" s="2"/>
      <c r="I32" s="2"/>
      <c r="J32" s="2"/>
    </row>
    <row r="33" spans="1:10">
      <c r="C33" s="11"/>
      <c r="D33" s="11"/>
      <c r="E33" s="2"/>
      <c r="F33" s="2"/>
      <c r="G33" s="2"/>
      <c r="H33" s="2"/>
      <c r="I33" s="2"/>
      <c r="J33" s="2"/>
    </row>
    <row r="34" spans="1:10">
      <c r="C34" s="11"/>
      <c r="D34" s="11"/>
      <c r="E34" s="2"/>
      <c r="F34" s="2"/>
      <c r="G34" s="2"/>
      <c r="H34" s="2"/>
      <c r="I34" s="2"/>
      <c r="J34" s="2"/>
    </row>
    <row r="35" spans="1:10">
      <c r="B35" s="16"/>
      <c r="C35" s="35" t="s">
        <v>35</v>
      </c>
      <c r="D35" s="35"/>
      <c r="E35" s="35"/>
      <c r="F35" s="35"/>
      <c r="G35" s="2"/>
      <c r="H35" s="2"/>
      <c r="I35" s="2"/>
      <c r="J35" s="2"/>
    </row>
    <row r="36" spans="1:10">
      <c r="A36" s="16" t="s">
        <v>47</v>
      </c>
      <c r="C36" s="36"/>
      <c r="D36" s="37"/>
      <c r="E36" s="17"/>
      <c r="F36" s="18" t="s">
        <v>42</v>
      </c>
      <c r="G36" s="2"/>
      <c r="H36" s="2"/>
      <c r="I36" s="2"/>
      <c r="J36" s="2"/>
    </row>
    <row r="37" spans="1:10">
      <c r="B37" s="16"/>
      <c r="C37" s="19" t="s">
        <v>43</v>
      </c>
      <c r="D37" s="20"/>
      <c r="E37" s="20"/>
      <c r="F37" s="18" t="s">
        <v>44</v>
      </c>
      <c r="G37" s="2"/>
      <c r="H37" s="2"/>
      <c r="I37" s="2"/>
      <c r="J37" s="2"/>
    </row>
    <row r="38" spans="1:10">
      <c r="B38" s="16"/>
      <c r="C38" s="21"/>
      <c r="D38" s="21"/>
      <c r="E38" s="21"/>
      <c r="F38" s="21"/>
      <c r="G38" s="2"/>
      <c r="H38" s="2"/>
      <c r="I38" s="2"/>
      <c r="J38" s="2"/>
    </row>
    <row r="39" spans="1:10">
      <c r="B39" s="16"/>
      <c r="C39" s="34" t="s">
        <v>36</v>
      </c>
      <c r="D39" s="34"/>
      <c r="E39" s="34"/>
      <c r="F39" s="34"/>
      <c r="G39" s="2"/>
      <c r="H39" s="2"/>
      <c r="I39" s="2"/>
      <c r="J39" s="2"/>
    </row>
    <row r="40" spans="1:10">
      <c r="A40" s="16" t="s">
        <v>48</v>
      </c>
      <c r="C40" s="36"/>
      <c r="D40" s="37"/>
      <c r="E40" s="17"/>
      <c r="F40" s="18" t="s">
        <v>42</v>
      </c>
      <c r="G40" s="2"/>
      <c r="H40" s="2"/>
      <c r="I40" s="2"/>
      <c r="J40" s="2"/>
    </row>
    <row r="41" spans="1:10">
      <c r="B41" s="16"/>
      <c r="C41" s="19" t="s">
        <v>43</v>
      </c>
      <c r="D41" s="20"/>
      <c r="E41" s="20"/>
      <c r="F41" s="18" t="s">
        <v>44</v>
      </c>
      <c r="G41" s="2"/>
      <c r="H41" s="2"/>
      <c r="I41" s="2"/>
      <c r="J41" s="2"/>
    </row>
    <row r="42" spans="1:10">
      <c r="B42" s="16"/>
      <c r="C42" s="21"/>
      <c r="D42" s="21"/>
      <c r="E42" s="21"/>
      <c r="F42" s="21"/>
      <c r="G42" s="2"/>
      <c r="H42" s="2"/>
      <c r="I42" s="2"/>
      <c r="J42" s="2"/>
    </row>
    <row r="43" spans="1:10">
      <c r="B43" s="16"/>
      <c r="C43" s="34" t="s">
        <v>37</v>
      </c>
      <c r="D43" s="34"/>
      <c r="E43" s="34"/>
      <c r="F43" s="34"/>
      <c r="G43" s="2"/>
      <c r="H43" s="2"/>
      <c r="I43" s="2"/>
      <c r="J43" s="2"/>
    </row>
    <row r="44" spans="1:10">
      <c r="A44" s="16" t="s">
        <v>49</v>
      </c>
      <c r="C44" s="36"/>
      <c r="D44" s="37"/>
      <c r="E44" s="17"/>
      <c r="F44" s="18" t="s">
        <v>42</v>
      </c>
      <c r="G44" s="2"/>
      <c r="H44" s="2"/>
      <c r="I44" s="2"/>
      <c r="J44" s="2"/>
    </row>
    <row r="45" spans="1:10">
      <c r="C45" s="19" t="s">
        <v>43</v>
      </c>
      <c r="D45" s="20"/>
      <c r="E45" s="20"/>
      <c r="F45" s="18" t="s">
        <v>44</v>
      </c>
      <c r="G45" s="2"/>
      <c r="H45" s="2"/>
      <c r="I45" s="2"/>
      <c r="J45" s="2"/>
    </row>
    <row r="46" spans="1:10">
      <c r="B46" s="16"/>
      <c r="C46" s="21"/>
      <c r="D46" s="21"/>
      <c r="E46" s="21"/>
      <c r="F46" s="21"/>
      <c r="G46" s="2"/>
      <c r="H46" s="2"/>
      <c r="I46" s="2"/>
      <c r="J46" s="2"/>
    </row>
    <row r="47" spans="1:10">
      <c r="B47" s="16"/>
      <c r="C47" s="34" t="s">
        <v>45</v>
      </c>
      <c r="D47" s="34"/>
      <c r="E47" s="34"/>
      <c r="F47" s="34"/>
      <c r="G47" s="2"/>
      <c r="H47" s="2"/>
      <c r="I47" s="2"/>
      <c r="J47" s="2"/>
    </row>
    <row r="48" spans="1:10">
      <c r="A48" s="16" t="s">
        <v>50</v>
      </c>
      <c r="C48" s="38"/>
      <c r="D48" s="39"/>
      <c r="E48" s="21"/>
      <c r="F48" s="21"/>
      <c r="G48" s="2"/>
      <c r="H48" s="2"/>
      <c r="I48" s="2"/>
      <c r="J48" s="2"/>
    </row>
    <row r="49" spans="1:10">
      <c r="A49" s="16" t="s">
        <v>41</v>
      </c>
      <c r="B49" s="16"/>
      <c r="C49" s="34" t="s">
        <v>38</v>
      </c>
      <c r="D49" s="34"/>
      <c r="E49" s="34"/>
      <c r="F49" s="34"/>
      <c r="G49" s="2"/>
      <c r="H49" s="2"/>
      <c r="I49" s="2"/>
      <c r="J49" s="2"/>
    </row>
    <row r="50" spans="1:10">
      <c r="C50" s="12"/>
      <c r="D50" s="12"/>
      <c r="E50" s="12"/>
      <c r="F50" s="12"/>
      <c r="G50" s="2"/>
      <c r="H50" s="2"/>
      <c r="I50" s="2"/>
      <c r="J50" s="2"/>
    </row>
    <row r="51" spans="1:10">
      <c r="C51" s="11"/>
      <c r="D51" s="11"/>
      <c r="E51" s="2"/>
      <c r="F51" s="2"/>
      <c r="G51" s="2"/>
      <c r="H51" s="2"/>
      <c r="I51" s="2"/>
      <c r="J51" s="2"/>
    </row>
  </sheetData>
  <sheetProtection password="E7EF" sheet="1" objects="1" scenarios="1" formatCells="0" formatColumns="0" formatRows="0"/>
  <mergeCells count="14">
    <mergeCell ref="C47:F47"/>
    <mergeCell ref="C49:F49"/>
    <mergeCell ref="C35:F35"/>
    <mergeCell ref="C39:F39"/>
    <mergeCell ref="C43:F43"/>
    <mergeCell ref="C36:D36"/>
    <mergeCell ref="C40:D40"/>
    <mergeCell ref="C44:D44"/>
    <mergeCell ref="C48:D48"/>
    <mergeCell ref="C3:J5"/>
    <mergeCell ref="C6:I6"/>
    <mergeCell ref="C7:I7"/>
    <mergeCell ref="C8:I8"/>
    <mergeCell ref="C9:I9"/>
  </mergeCells>
  <dataValidations count="2">
    <dataValidation type="whole" operator="notEqual" allowBlank="1" showInputMessage="1" showErrorMessage="1" errorTitle="Ошибка ввода" error="Введите целое число." sqref="E13:E30 H13:I30">
      <formula1>-1234567890</formula1>
    </dataValidation>
    <dataValidation type="date" operator="notEqual" allowBlank="1" showInputMessage="1" showErrorMessage="1" errorTitle="Ошибка ввода" error="Введите дату." sqref="C48:D48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ОТ_ПФИ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2014-08-04T10:58:06Z</dcterms:created>
  <dcterms:modified xsi:type="dcterms:W3CDTF">2016-10-20T03:46:43Z</dcterms:modified>
</cp:coreProperties>
</file>