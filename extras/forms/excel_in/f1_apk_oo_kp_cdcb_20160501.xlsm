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28695" windowHeight="10995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F59" i="1"/>
  <c r="E59"/>
  <c r="F63" l="1"/>
  <c r="E63"/>
  <c r="F48"/>
  <c r="F65" s="1"/>
  <c r="E48"/>
  <c r="F33"/>
  <c r="E33"/>
  <c r="E65" l="1"/>
</calcChain>
</file>

<file path=xl/sharedStrings.xml><?xml version="1.0" encoding="utf-8"?>
<sst xmlns="http://schemas.openxmlformats.org/spreadsheetml/2006/main" count="138" uniqueCount="85">
  <si>
    <r>
      <rPr>
        <sz val="8"/>
        <rFont val="Times New Roman"/>
        <family val="1"/>
        <charset val="204"/>
      </rPr>
      <t xml:space="preserve">Приложение 14 
к Правилам представления финансовой 
отчетности финансовыми организациями, 
специальными финансовыми компаниями, 
исламскими специальными финансовыми 
компаниями, микрофинансовыми организациями </t>
    </r>
    <r>
      <rPr>
        <sz val="8"/>
        <color indexed="10"/>
        <rFont val="Times New Roman"/>
        <family val="1"/>
        <charset val="204"/>
      </rPr>
      <t xml:space="preserve">
</t>
    </r>
  </si>
  <si>
    <t>Бухгалтерский баланс</t>
  </si>
  <si>
    <t>( в тысячах тенге)</t>
  </si>
  <si>
    <t>Наименование статьи</t>
  </si>
  <si>
    <t>Код строки</t>
  </si>
  <si>
    <t>На конец отчетного периода</t>
  </si>
  <si>
    <t>На конец предыдущего года</t>
  </si>
  <si>
    <t>Активы</t>
  </si>
  <si>
    <t>Денежные средства и эквиваленты денежных средств</t>
  </si>
  <si>
    <t>в том числе:</t>
  </si>
  <si>
    <t>наличные деньги в кассе</t>
  </si>
  <si>
    <t>1.1</t>
  </si>
  <si>
    <t>деньги на счетах в банках и организациях, осуществляющих отдельные виды банковских операций</t>
  </si>
  <si>
    <t>1.2</t>
  </si>
  <si>
    <t>Ценные бумаги, оцениваемые по справедливой стоимости, изменения которых отражаются в составе прибыли или убытка</t>
  </si>
  <si>
    <t>Ценные бумаги, имеющиеся в наличии для продажи (за вычетом резервов на обесценение)</t>
  </si>
  <si>
    <t>Ценные бумаги, удерживаемые до погашения (за вычетом резервов на обесценение)</t>
  </si>
  <si>
    <t>Производные финансовые инструменты</t>
  </si>
  <si>
    <t>Дебиторская задолженность</t>
  </si>
  <si>
    <t>Комиссионные вознаграждения</t>
  </si>
  <si>
    <t>Вклады размещенные (за вычетом резервов на обесценение)</t>
  </si>
  <si>
    <t>Финансовая аренда предоставленная (за вычетом резервов на обесценение)</t>
  </si>
  <si>
    <t>Займы (микрокредиты) предоставленные (за вычетом резервов на обесценение)</t>
  </si>
  <si>
    <t>Инвестиционное имущество</t>
  </si>
  <si>
    <t>Инвестиции в капитал других юридических лиц и субординированный долг</t>
  </si>
  <si>
    <t>Запасы</t>
  </si>
  <si>
    <t>Долгосрочные активы (выбывающие группы), предназначенные для продажи</t>
  </si>
  <si>
    <t>Нематериальные активы (за вычетом амортизации и убытков от обесценения)</t>
  </si>
  <si>
    <t>Основные средства (за вычетом амортизации и убытков от обесценения)</t>
  </si>
  <si>
    <t>Текущее налоговое требование</t>
  </si>
  <si>
    <t>Отложенное налоговое требование</t>
  </si>
  <si>
    <t>Прочие активы</t>
  </si>
  <si>
    <t>Итого активы</t>
  </si>
  <si>
    <t>Обязательства</t>
  </si>
  <si>
    <t>Вклады привлеченные</t>
  </si>
  <si>
    <t>Выпущенные долговые ценные бумаги</t>
  </si>
  <si>
    <t>Займы полученные</t>
  </si>
  <si>
    <t>Кредиторская задолженность</t>
  </si>
  <si>
    <t>Резервы</t>
  </si>
  <si>
    <t>Начисленные расходы по расчетам с акционерами по акциям</t>
  </si>
  <si>
    <t>Субординированный долг</t>
  </si>
  <si>
    <t>Текущее налоговое обязательство</t>
  </si>
  <si>
    <t>Отложенное налоговое обязательство</t>
  </si>
  <si>
    <t>Прочие обязательства</t>
  </si>
  <si>
    <t>Итого обязательства</t>
  </si>
  <si>
    <t>Собственный капитал</t>
  </si>
  <si>
    <t>Уставный капитал</t>
  </si>
  <si>
    <t>простые акции</t>
  </si>
  <si>
    <t>35.1</t>
  </si>
  <si>
    <t>привилегированные акции</t>
  </si>
  <si>
    <t>35.2</t>
  </si>
  <si>
    <t>Премии (дополнительный оплаченный капитал)</t>
  </si>
  <si>
    <t>Изъятый капитал</t>
  </si>
  <si>
    <t>Резервный капитал</t>
  </si>
  <si>
    <t>Прочие резервы</t>
  </si>
  <si>
    <t>Нераспределенная прибыль (непокрытый убыток)</t>
  </si>
  <si>
    <t>предыдущих лет</t>
  </si>
  <si>
    <t>40.1</t>
  </si>
  <si>
    <t>отчетного периода</t>
  </si>
  <si>
    <t>40.2</t>
  </si>
  <si>
    <t>Итого капитал</t>
  </si>
  <si>
    <t>Итого капитал и обязательства (стр. 34+стр.41)</t>
  </si>
  <si>
    <t xml:space="preserve">Первый руководитель (на период его отсутствия - лицо, его замещающее) </t>
  </si>
  <si>
    <t>___________________</t>
  </si>
  <si>
    <t>Главный бухгалтер</t>
  </si>
  <si>
    <t xml:space="preserve">Исполнитель </t>
  </si>
  <si>
    <t>end</t>
  </si>
  <si>
    <t>array</t>
  </si>
  <si>
    <t>v</t>
  </si>
  <si>
    <t>дата</t>
  </si>
  <si>
    <t>подпись</t>
  </si>
  <si>
    <t>Фамилия, имя, отчество (при его наличии)</t>
  </si>
  <si>
    <t>Телефон исполнителя</t>
  </si>
  <si>
    <t>{"excelCells": [{"name": "drafted_by_tel", "type": "string", "position": "2"}]}</t>
  </si>
  <si>
    <t>Операция «обратное РЕПО»</t>
  </si>
  <si>
    <t>Операция «РЕПО»</t>
  </si>
  <si>
    <t>{"excelCells": [{"name": "drafted_by", "type": "string", "position": "2"}]}</t>
  </si>
  <si>
    <t>{"excelCells": [{"name": "ceo", "type": "string", "position": "2"}]}</t>
  </si>
  <si>
    <t>{"excelCells": [{"name": "chief_accountant", "type": "string", "position": "2"}]}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</si>
  <si>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</si>
  <si>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</si>
  <si>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</si>
  <si>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</si>
  <si>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{"excelCells": [{"name": "drafted_by_tel", "type": "s", "position": "2"}]}</t>
  </si>
  <si>
    <t>{"form": "f1_apk_oo_kp_cdcb", "xls_version":"4","begin_date":"01.05.2016", "tables": [{"name": "array", "key": "code", "position": "1","positionKey": "3",  "columns": [
{"name": "endpr_sum", "type": "n0", "position": "4"}, 
{"name": "endprevpr_sum", "type": "n0", "position": "5"}]}]}</t>
  </si>
</sst>
</file>

<file path=xl/styles.xml><?xml version="1.0" encoding="utf-8"?>
<styleSheet xmlns="http://schemas.openxmlformats.org/spreadsheetml/2006/main">
  <numFmts count="1">
    <numFmt numFmtId="164" formatCode="_(* #,##0.00_);_(* \(#,##0.00\);_(* &quot;-&quot;??_);_(@_)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8"/>
      <color rgb="FFFF0000"/>
      <name val="Times New Roman"/>
      <family val="1"/>
      <charset val="204"/>
    </font>
    <font>
      <sz val="8"/>
      <name val="Times New Roman"/>
      <family val="1"/>
      <charset val="204"/>
    </font>
    <font>
      <sz val="8"/>
      <color indexed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36">
    <xf numFmtId="0" fontId="0" fillId="0" borderId="0" xfId="0"/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0" xfId="0" applyFont="1" applyFill="1" applyAlignment="1" applyProtection="1">
      <alignment horizontal="center"/>
    </xf>
    <xf numFmtId="0" fontId="6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3" fontId="2" fillId="0" borderId="3" xfId="1" applyNumberFormat="1" applyFont="1" applyFill="1" applyBorder="1" applyProtection="1"/>
    <xf numFmtId="3" fontId="2" fillId="0" borderId="1" xfId="1" applyNumberFormat="1" applyFont="1" applyFill="1" applyBorder="1" applyProtection="1"/>
    <xf numFmtId="0" fontId="2" fillId="0" borderId="1" xfId="0" applyFont="1" applyFill="1" applyBorder="1" applyAlignment="1" applyProtection="1">
      <alignment vertical="center" wrapText="1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3" fontId="6" fillId="0" borderId="3" xfId="1" applyNumberFormat="1" applyFont="1" applyFill="1" applyBorder="1" applyAlignment="1" applyProtection="1">
      <alignment horizontal="right"/>
    </xf>
    <xf numFmtId="3" fontId="2" fillId="0" borderId="3" xfId="1" applyNumberFormat="1" applyFont="1" applyFill="1" applyBorder="1" applyAlignment="1" applyProtection="1">
      <alignment horizontal="right"/>
    </xf>
    <xf numFmtId="3" fontId="2" fillId="0" borderId="1" xfId="1" applyNumberFormat="1" applyFont="1" applyFill="1" applyBorder="1" applyAlignment="1" applyProtection="1">
      <alignment horizontal="right"/>
    </xf>
    <xf numFmtId="14" fontId="0" fillId="0" borderId="0" xfId="0" applyNumberFormat="1" applyAlignment="1" applyProtection="1">
      <protection locked="0"/>
    </xf>
    <xf numFmtId="0" fontId="6" fillId="3" borderId="1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3" fontId="2" fillId="2" borderId="3" xfId="1" applyNumberFormat="1" applyFont="1" applyFill="1" applyBorder="1" applyProtection="1">
      <protection locked="0"/>
    </xf>
    <xf numFmtId="3" fontId="2" fillId="2" borderId="1" xfId="1" applyNumberFormat="1" applyFont="1" applyFill="1" applyBorder="1" applyProtection="1">
      <protection locked="0"/>
    </xf>
    <xf numFmtId="3" fontId="6" fillId="0" borderId="3" xfId="1" applyNumberFormat="1" applyFont="1" applyFill="1" applyBorder="1" applyProtection="1"/>
    <xf numFmtId="14" fontId="2" fillId="0" borderId="0" xfId="2" applyNumberFormat="1" applyFont="1" applyFill="1" applyAlignment="1" applyProtection="1"/>
    <xf numFmtId="0" fontId="3" fillId="0" borderId="0" xfId="0" applyFont="1" applyFill="1" applyAlignment="1" applyProtection="1">
      <alignment horizontal="right" vertical="top" wrapText="1"/>
    </xf>
    <xf numFmtId="0" fontId="6" fillId="0" borderId="0" xfId="0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wrapText="1"/>
    </xf>
    <xf numFmtId="49" fontId="2" fillId="2" borderId="0" xfId="2" applyNumberFormat="1" applyFont="1" applyFill="1" applyAlignment="1" applyProtection="1">
      <alignment horizontal="left"/>
      <protection locked="0"/>
    </xf>
    <xf numFmtId="49" fontId="0" fillId="2" borderId="0" xfId="0" applyNumberFormat="1" applyFill="1" applyAlignment="1" applyProtection="1">
      <alignment horizontal="left"/>
      <protection locked="0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  <color rgb="FFCCE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82"/>
  <sheetViews>
    <sheetView tabSelected="1" workbookViewId="0">
      <pane ySplit="8" topLeftCell="A9" activePane="bottomLeft" state="frozen"/>
      <selection activeCell="C1" sqref="C1"/>
      <selection pane="bottomLeft" activeCell="C4" sqref="C4:F4"/>
    </sheetView>
  </sheetViews>
  <sheetFormatPr defaultColWidth="0" defaultRowHeight="15"/>
  <cols>
    <col min="1" max="2" width="9.140625" style="8" hidden="1" customWidth="1"/>
    <col min="3" max="3" width="65.28515625" style="8" customWidth="1"/>
    <col min="4" max="4" width="9" style="8" customWidth="1"/>
    <col min="5" max="5" width="21.85546875" style="8" customWidth="1"/>
    <col min="6" max="6" width="19" style="8" customWidth="1"/>
    <col min="7" max="7" width="0" style="8" hidden="1" customWidth="1"/>
    <col min="8" max="16384" width="9.140625" style="8" hidden="1"/>
  </cols>
  <sheetData>
    <row r="1" spans="1:6" ht="73.5" hidden="1" customHeight="1">
      <c r="A1" s="9" t="s">
        <v>84</v>
      </c>
    </row>
    <row r="2" spans="1:6" hidden="1">
      <c r="A2" s="8" t="s">
        <v>79</v>
      </c>
    </row>
    <row r="3" spans="1:6" ht="72" customHeight="1">
      <c r="C3" s="1"/>
      <c r="D3" s="1"/>
      <c r="E3" s="28" t="s">
        <v>0</v>
      </c>
      <c r="F3" s="28"/>
    </row>
    <row r="4" spans="1:6">
      <c r="C4" s="29" t="s">
        <v>1</v>
      </c>
      <c r="D4" s="29"/>
      <c r="E4" s="29"/>
      <c r="F4" s="29"/>
    </row>
    <row r="5" spans="1:6">
      <c r="C5" s="10"/>
      <c r="D5" s="10"/>
      <c r="E5" s="10"/>
      <c r="F5" s="10"/>
    </row>
    <row r="6" spans="1:6">
      <c r="B6" s="8" t="s">
        <v>67</v>
      </c>
      <c r="C6" s="1"/>
      <c r="D6" s="1"/>
      <c r="E6" s="1"/>
      <c r="F6" s="2" t="s">
        <v>2</v>
      </c>
    </row>
    <row r="7" spans="1:6" ht="25.5">
      <c r="C7" s="21" t="s">
        <v>3</v>
      </c>
      <c r="D7" s="21" t="s">
        <v>4</v>
      </c>
      <c r="E7" s="21" t="s">
        <v>5</v>
      </c>
      <c r="F7" s="21" t="s">
        <v>6</v>
      </c>
    </row>
    <row r="8" spans="1:6">
      <c r="C8" s="22">
        <v>1</v>
      </c>
      <c r="D8" s="22">
        <v>2</v>
      </c>
      <c r="E8" s="23">
        <v>3</v>
      </c>
      <c r="F8" s="23">
        <v>4</v>
      </c>
    </row>
    <row r="9" spans="1:6">
      <c r="C9" s="11" t="s">
        <v>7</v>
      </c>
      <c r="D9" s="12"/>
      <c r="E9" s="13"/>
      <c r="F9" s="14"/>
    </row>
    <row r="10" spans="1:6">
      <c r="B10" s="8" t="s">
        <v>68</v>
      </c>
      <c r="C10" s="15" t="s">
        <v>8</v>
      </c>
      <c r="D10" s="12">
        <v>1</v>
      </c>
      <c r="E10" s="24"/>
      <c r="F10" s="25"/>
    </row>
    <row r="11" spans="1:6">
      <c r="C11" s="15" t="s">
        <v>9</v>
      </c>
      <c r="D11" s="12"/>
      <c r="E11" s="13"/>
      <c r="F11" s="14"/>
    </row>
    <row r="12" spans="1:6">
      <c r="B12" s="8" t="s">
        <v>68</v>
      </c>
      <c r="C12" s="15" t="s">
        <v>10</v>
      </c>
      <c r="D12" s="16" t="s">
        <v>11</v>
      </c>
      <c r="E12" s="24"/>
      <c r="F12" s="25"/>
    </row>
    <row r="13" spans="1:6" ht="25.5">
      <c r="B13" s="8" t="s">
        <v>68</v>
      </c>
      <c r="C13" s="15" t="s">
        <v>12</v>
      </c>
      <c r="D13" s="16" t="s">
        <v>13</v>
      </c>
      <c r="E13" s="24"/>
      <c r="F13" s="25"/>
    </row>
    <row r="14" spans="1:6" ht="25.5">
      <c r="B14" s="8" t="s">
        <v>68</v>
      </c>
      <c r="C14" s="15" t="s">
        <v>14</v>
      </c>
      <c r="D14" s="12">
        <v>2</v>
      </c>
      <c r="E14" s="24"/>
      <c r="F14" s="25"/>
    </row>
    <row r="15" spans="1:6" ht="25.5">
      <c r="B15" s="8" t="s">
        <v>68</v>
      </c>
      <c r="C15" s="15" t="s">
        <v>15</v>
      </c>
      <c r="D15" s="12">
        <v>3</v>
      </c>
      <c r="E15" s="24"/>
      <c r="F15" s="25"/>
    </row>
    <row r="16" spans="1:6" ht="25.5">
      <c r="B16" s="8" t="s">
        <v>68</v>
      </c>
      <c r="C16" s="15" t="s">
        <v>16</v>
      </c>
      <c r="D16" s="12">
        <v>4</v>
      </c>
      <c r="E16" s="24"/>
      <c r="F16" s="25"/>
    </row>
    <row r="17" spans="2:6">
      <c r="B17" s="8" t="s">
        <v>68</v>
      </c>
      <c r="C17" s="15" t="s">
        <v>17</v>
      </c>
      <c r="D17" s="12">
        <v>5</v>
      </c>
      <c r="E17" s="24"/>
      <c r="F17" s="25"/>
    </row>
    <row r="18" spans="2:6">
      <c r="B18" s="8" t="s">
        <v>68</v>
      </c>
      <c r="C18" s="15" t="s">
        <v>18</v>
      </c>
      <c r="D18" s="12">
        <v>6</v>
      </c>
      <c r="E18" s="24"/>
      <c r="F18" s="25"/>
    </row>
    <row r="19" spans="2:6">
      <c r="B19" s="8" t="s">
        <v>68</v>
      </c>
      <c r="C19" s="15" t="s">
        <v>19</v>
      </c>
      <c r="D19" s="12">
        <v>7</v>
      </c>
      <c r="E19" s="24"/>
      <c r="F19" s="25"/>
    </row>
    <row r="20" spans="2:6">
      <c r="B20" s="8" t="s">
        <v>68</v>
      </c>
      <c r="C20" s="15" t="s">
        <v>74</v>
      </c>
      <c r="D20" s="12">
        <v>8</v>
      </c>
      <c r="E20" s="24"/>
      <c r="F20" s="25"/>
    </row>
    <row r="21" spans="2:6">
      <c r="B21" s="8" t="s">
        <v>68</v>
      </c>
      <c r="C21" s="15" t="s">
        <v>20</v>
      </c>
      <c r="D21" s="12">
        <v>9</v>
      </c>
      <c r="E21" s="24"/>
      <c r="F21" s="25"/>
    </row>
    <row r="22" spans="2:6">
      <c r="B22" s="8" t="s">
        <v>68</v>
      </c>
      <c r="C22" s="15" t="s">
        <v>21</v>
      </c>
      <c r="D22" s="12">
        <v>10</v>
      </c>
      <c r="E22" s="24"/>
      <c r="F22" s="25"/>
    </row>
    <row r="23" spans="2:6" ht="25.5">
      <c r="B23" s="8" t="s">
        <v>68</v>
      </c>
      <c r="C23" s="15" t="s">
        <v>22</v>
      </c>
      <c r="D23" s="12">
        <v>11</v>
      </c>
      <c r="E23" s="24"/>
      <c r="F23" s="25"/>
    </row>
    <row r="24" spans="2:6">
      <c r="B24" s="8" t="s">
        <v>68</v>
      </c>
      <c r="C24" s="15" t="s">
        <v>23</v>
      </c>
      <c r="D24" s="12">
        <v>12</v>
      </c>
      <c r="E24" s="24"/>
      <c r="F24" s="25"/>
    </row>
    <row r="25" spans="2:6">
      <c r="B25" s="8" t="s">
        <v>68</v>
      </c>
      <c r="C25" s="15" t="s">
        <v>24</v>
      </c>
      <c r="D25" s="12">
        <v>13</v>
      </c>
      <c r="E25" s="24"/>
      <c r="F25" s="25"/>
    </row>
    <row r="26" spans="2:6">
      <c r="B26" s="8" t="s">
        <v>68</v>
      </c>
      <c r="C26" s="15" t="s">
        <v>25</v>
      </c>
      <c r="D26" s="12">
        <v>14</v>
      </c>
      <c r="E26" s="24"/>
      <c r="F26" s="25"/>
    </row>
    <row r="27" spans="2:6">
      <c r="B27" s="8" t="s">
        <v>68</v>
      </c>
      <c r="C27" s="15" t="s">
        <v>26</v>
      </c>
      <c r="D27" s="12">
        <v>15</v>
      </c>
      <c r="E27" s="24"/>
      <c r="F27" s="25"/>
    </row>
    <row r="28" spans="2:6">
      <c r="B28" s="8" t="s">
        <v>68</v>
      </c>
      <c r="C28" s="15" t="s">
        <v>27</v>
      </c>
      <c r="D28" s="12">
        <v>16</v>
      </c>
      <c r="E28" s="24"/>
      <c r="F28" s="25"/>
    </row>
    <row r="29" spans="2:6">
      <c r="B29" s="8" t="s">
        <v>68</v>
      </c>
      <c r="C29" s="15" t="s">
        <v>28</v>
      </c>
      <c r="D29" s="12">
        <v>17</v>
      </c>
      <c r="E29" s="24"/>
      <c r="F29" s="25"/>
    </row>
    <row r="30" spans="2:6">
      <c r="B30" s="8" t="s">
        <v>68</v>
      </c>
      <c r="C30" s="15" t="s">
        <v>29</v>
      </c>
      <c r="D30" s="12">
        <v>18</v>
      </c>
      <c r="E30" s="24"/>
      <c r="F30" s="25"/>
    </row>
    <row r="31" spans="2:6">
      <c r="B31" s="8" t="s">
        <v>68</v>
      </c>
      <c r="C31" s="15" t="s">
        <v>30</v>
      </c>
      <c r="D31" s="12">
        <v>19</v>
      </c>
      <c r="E31" s="24"/>
      <c r="F31" s="25"/>
    </row>
    <row r="32" spans="2:6">
      <c r="B32" s="8" t="s">
        <v>68</v>
      </c>
      <c r="C32" s="15" t="s">
        <v>31</v>
      </c>
      <c r="D32" s="12">
        <v>20</v>
      </c>
      <c r="E32" s="24"/>
      <c r="F32" s="25"/>
    </row>
    <row r="33" spans="2:6">
      <c r="C33" s="11" t="s">
        <v>32</v>
      </c>
      <c r="D33" s="12">
        <v>21</v>
      </c>
      <c r="E33" s="17">
        <f>E10+E14+E15+E16+E17+E18+E19+E20+E21+E22+E23+E24+E25+E26+E27+E28+E29+E30+E31+E32</f>
        <v>0</v>
      </c>
      <c r="F33" s="17">
        <f>F10+F14+F15+F16+F17+F18+F19+F20+F21+F22+F23+F24+F25+F26+F27+F28+F29+F30+F31+F32</f>
        <v>0</v>
      </c>
    </row>
    <row r="34" spans="2:6">
      <c r="C34" s="15"/>
      <c r="D34" s="12"/>
      <c r="E34" s="13"/>
      <c r="F34" s="14"/>
    </row>
    <row r="35" spans="2:6">
      <c r="C35" s="11" t="s">
        <v>33</v>
      </c>
      <c r="D35" s="12"/>
      <c r="E35" s="13"/>
      <c r="F35" s="14"/>
    </row>
    <row r="36" spans="2:6">
      <c r="B36" s="8" t="s">
        <v>68</v>
      </c>
      <c r="C36" s="15" t="s">
        <v>34</v>
      </c>
      <c r="D36" s="12">
        <v>22</v>
      </c>
      <c r="E36" s="24"/>
      <c r="F36" s="25"/>
    </row>
    <row r="37" spans="2:6">
      <c r="B37" s="8" t="s">
        <v>68</v>
      </c>
      <c r="C37" s="15" t="s">
        <v>17</v>
      </c>
      <c r="D37" s="12">
        <v>23</v>
      </c>
      <c r="E37" s="24"/>
      <c r="F37" s="25"/>
    </row>
    <row r="38" spans="2:6">
      <c r="B38" s="8" t="s">
        <v>68</v>
      </c>
      <c r="C38" s="15" t="s">
        <v>35</v>
      </c>
      <c r="D38" s="12">
        <v>24</v>
      </c>
      <c r="E38" s="24"/>
      <c r="F38" s="25"/>
    </row>
    <row r="39" spans="2:6">
      <c r="B39" s="8" t="s">
        <v>68</v>
      </c>
      <c r="C39" s="15" t="s">
        <v>75</v>
      </c>
      <c r="D39" s="12">
        <v>25</v>
      </c>
      <c r="E39" s="24"/>
      <c r="F39" s="25"/>
    </row>
    <row r="40" spans="2:6">
      <c r="B40" s="8" t="s">
        <v>68</v>
      </c>
      <c r="C40" s="15" t="s">
        <v>36</v>
      </c>
      <c r="D40" s="12">
        <v>26</v>
      </c>
      <c r="E40" s="24"/>
      <c r="F40" s="25"/>
    </row>
    <row r="41" spans="2:6">
      <c r="B41" s="8" t="s">
        <v>68</v>
      </c>
      <c r="C41" s="15" t="s">
        <v>37</v>
      </c>
      <c r="D41" s="12">
        <v>27</v>
      </c>
      <c r="E41" s="24"/>
      <c r="F41" s="25"/>
    </row>
    <row r="42" spans="2:6">
      <c r="B42" s="8" t="s">
        <v>68</v>
      </c>
      <c r="C42" s="15" t="s">
        <v>38</v>
      </c>
      <c r="D42" s="12">
        <v>28</v>
      </c>
      <c r="E42" s="24"/>
      <c r="F42" s="25"/>
    </row>
    <row r="43" spans="2:6">
      <c r="B43" s="8" t="s">
        <v>68</v>
      </c>
      <c r="C43" s="15" t="s">
        <v>39</v>
      </c>
      <c r="D43" s="12">
        <v>29</v>
      </c>
      <c r="E43" s="24"/>
      <c r="F43" s="25"/>
    </row>
    <row r="44" spans="2:6">
      <c r="B44" s="8" t="s">
        <v>68</v>
      </c>
      <c r="C44" s="15" t="s">
        <v>40</v>
      </c>
      <c r="D44" s="12">
        <v>30</v>
      </c>
      <c r="E44" s="24"/>
      <c r="F44" s="25"/>
    </row>
    <row r="45" spans="2:6">
      <c r="B45" s="8" t="s">
        <v>68</v>
      </c>
      <c r="C45" s="15" t="s">
        <v>41</v>
      </c>
      <c r="D45" s="12">
        <v>31</v>
      </c>
      <c r="E45" s="24"/>
      <c r="F45" s="25"/>
    </row>
    <row r="46" spans="2:6">
      <c r="B46" s="8" t="s">
        <v>68</v>
      </c>
      <c r="C46" s="15" t="s">
        <v>42</v>
      </c>
      <c r="D46" s="12">
        <v>32</v>
      </c>
      <c r="E46" s="24"/>
      <c r="F46" s="25"/>
    </row>
    <row r="47" spans="2:6">
      <c r="B47" s="8" t="s">
        <v>68</v>
      </c>
      <c r="C47" s="15" t="s">
        <v>43</v>
      </c>
      <c r="D47" s="12">
        <v>33</v>
      </c>
      <c r="E47" s="24"/>
      <c r="F47" s="25"/>
    </row>
    <row r="48" spans="2:6">
      <c r="C48" s="11" t="s">
        <v>44</v>
      </c>
      <c r="D48" s="12">
        <v>34</v>
      </c>
      <c r="E48" s="17">
        <f>SUM(E36:E47)</f>
        <v>0</v>
      </c>
      <c r="F48" s="17">
        <f>SUM(F36:F47)</f>
        <v>0</v>
      </c>
    </row>
    <row r="49" spans="2:6">
      <c r="C49" s="15"/>
      <c r="D49" s="12"/>
      <c r="E49" s="13"/>
      <c r="F49" s="14"/>
    </row>
    <row r="50" spans="2:6">
      <c r="C50" s="11" t="s">
        <v>45</v>
      </c>
      <c r="D50" s="12"/>
      <c r="E50" s="13"/>
      <c r="F50" s="14"/>
    </row>
    <row r="51" spans="2:6">
      <c r="B51" s="8" t="s">
        <v>68</v>
      </c>
      <c r="C51" s="15" t="s">
        <v>46</v>
      </c>
      <c r="D51" s="12">
        <v>35</v>
      </c>
      <c r="E51" s="24"/>
      <c r="F51" s="25"/>
    </row>
    <row r="52" spans="2:6">
      <c r="C52" s="15" t="s">
        <v>9</v>
      </c>
      <c r="D52" s="12"/>
      <c r="E52" s="13"/>
      <c r="F52" s="14"/>
    </row>
    <row r="53" spans="2:6">
      <c r="B53" s="8" t="s">
        <v>68</v>
      </c>
      <c r="C53" s="15" t="s">
        <v>47</v>
      </c>
      <c r="D53" s="16" t="s">
        <v>48</v>
      </c>
      <c r="E53" s="24"/>
      <c r="F53" s="25"/>
    </row>
    <row r="54" spans="2:6">
      <c r="B54" s="8" t="s">
        <v>68</v>
      </c>
      <c r="C54" s="15" t="s">
        <v>49</v>
      </c>
      <c r="D54" s="16" t="s">
        <v>50</v>
      </c>
      <c r="E54" s="24"/>
      <c r="F54" s="25"/>
    </row>
    <row r="55" spans="2:6">
      <c r="B55" s="8" t="s">
        <v>68</v>
      </c>
      <c r="C55" s="15" t="s">
        <v>51</v>
      </c>
      <c r="D55" s="12">
        <v>36</v>
      </c>
      <c r="E55" s="24"/>
      <c r="F55" s="25"/>
    </row>
    <row r="56" spans="2:6">
      <c r="B56" s="8" t="s">
        <v>68</v>
      </c>
      <c r="C56" s="15" t="s">
        <v>52</v>
      </c>
      <c r="D56" s="12">
        <v>37</v>
      </c>
      <c r="E56" s="24"/>
      <c r="F56" s="25"/>
    </row>
    <row r="57" spans="2:6">
      <c r="B57" s="8" t="s">
        <v>68</v>
      </c>
      <c r="C57" s="15" t="s">
        <v>53</v>
      </c>
      <c r="D57" s="12">
        <v>38</v>
      </c>
      <c r="E57" s="24"/>
      <c r="F57" s="25"/>
    </row>
    <row r="58" spans="2:6">
      <c r="B58" s="8" t="s">
        <v>68</v>
      </c>
      <c r="C58" s="15" t="s">
        <v>54</v>
      </c>
      <c r="D58" s="12">
        <v>39</v>
      </c>
      <c r="E58" s="24"/>
      <c r="F58" s="25"/>
    </row>
    <row r="59" spans="2:6">
      <c r="C59" s="15" t="s">
        <v>55</v>
      </c>
      <c r="D59" s="12">
        <v>40</v>
      </c>
      <c r="E59" s="26">
        <f>E61+E62</f>
        <v>0</v>
      </c>
      <c r="F59" s="26">
        <f>F61+F62</f>
        <v>0</v>
      </c>
    </row>
    <row r="60" spans="2:6">
      <c r="C60" s="15" t="s">
        <v>9</v>
      </c>
      <c r="D60" s="12"/>
      <c r="E60" s="13"/>
      <c r="F60" s="14"/>
    </row>
    <row r="61" spans="2:6">
      <c r="B61" s="8" t="s">
        <v>68</v>
      </c>
      <c r="C61" s="15" t="s">
        <v>56</v>
      </c>
      <c r="D61" s="16" t="s">
        <v>57</v>
      </c>
      <c r="E61" s="24"/>
      <c r="F61" s="25"/>
    </row>
    <row r="62" spans="2:6">
      <c r="B62" s="8" t="s">
        <v>68</v>
      </c>
      <c r="C62" s="15" t="s">
        <v>58</v>
      </c>
      <c r="D62" s="16" t="s">
        <v>59</v>
      </c>
      <c r="E62" s="24"/>
      <c r="F62" s="25"/>
    </row>
    <row r="63" spans="2:6">
      <c r="B63" s="3" t="s">
        <v>66</v>
      </c>
      <c r="C63" s="11" t="s">
        <v>60</v>
      </c>
      <c r="D63" s="12">
        <v>41</v>
      </c>
      <c r="E63" s="17">
        <f>SUM(E51+E55+E56+E57+E58+E59)</f>
        <v>0</v>
      </c>
      <c r="F63" s="17">
        <f>SUM(F51+F55+F56+F57+F58+F59)</f>
        <v>0</v>
      </c>
    </row>
    <row r="64" spans="2:6">
      <c r="C64" s="15"/>
      <c r="D64" s="12"/>
      <c r="E64" s="18"/>
      <c r="F64" s="19"/>
    </row>
    <row r="65" spans="1:7">
      <c r="C65" s="11" t="s">
        <v>61</v>
      </c>
      <c r="D65" s="12">
        <v>42</v>
      </c>
      <c r="E65" s="17">
        <f>E48+E63</f>
        <v>0</v>
      </c>
      <c r="F65" s="17">
        <f>F48+F63</f>
        <v>0</v>
      </c>
    </row>
    <row r="68" spans="1:7">
      <c r="B68" s="3"/>
      <c r="C68" s="30" t="s">
        <v>62</v>
      </c>
      <c r="D68" s="30"/>
      <c r="E68" s="30"/>
      <c r="F68" s="30"/>
    </row>
    <row r="69" spans="1:7">
      <c r="A69" s="3" t="s">
        <v>80</v>
      </c>
      <c r="B69" s="3" t="s">
        <v>77</v>
      </c>
      <c r="C69" s="33"/>
      <c r="D69" s="34"/>
      <c r="E69" s="4" t="s">
        <v>63</v>
      </c>
      <c r="F69" s="27"/>
      <c r="G69" s="20"/>
    </row>
    <row r="70" spans="1:7">
      <c r="B70" s="3"/>
      <c r="C70" s="5" t="s">
        <v>71</v>
      </c>
      <c r="D70" s="6"/>
      <c r="E70" s="4" t="s">
        <v>70</v>
      </c>
      <c r="F70" s="4" t="s">
        <v>69</v>
      </c>
    </row>
    <row r="71" spans="1:7">
      <c r="B71" s="3"/>
      <c r="C71" s="7"/>
      <c r="D71" s="7"/>
      <c r="E71" s="7"/>
      <c r="F71" s="7"/>
    </row>
    <row r="72" spans="1:7">
      <c r="B72" s="3"/>
      <c r="C72" s="35" t="s">
        <v>64</v>
      </c>
      <c r="D72" s="35"/>
      <c r="E72" s="35"/>
      <c r="F72" s="35"/>
    </row>
    <row r="73" spans="1:7">
      <c r="A73" s="3" t="s">
        <v>81</v>
      </c>
      <c r="B73" s="3" t="s">
        <v>78</v>
      </c>
      <c r="C73" s="33"/>
      <c r="D73" s="34"/>
      <c r="E73" s="4" t="s">
        <v>63</v>
      </c>
      <c r="F73" s="27"/>
    </row>
    <row r="74" spans="1:7">
      <c r="B74" s="3"/>
      <c r="C74" s="5" t="s">
        <v>71</v>
      </c>
      <c r="D74" s="6"/>
      <c r="E74" s="4" t="s">
        <v>70</v>
      </c>
      <c r="F74" s="4" t="s">
        <v>69</v>
      </c>
    </row>
    <row r="75" spans="1:7">
      <c r="B75" s="3"/>
      <c r="C75" s="7"/>
      <c r="D75" s="7"/>
      <c r="E75" s="7"/>
      <c r="F75" s="7"/>
    </row>
    <row r="76" spans="1:7">
      <c r="B76" s="3"/>
      <c r="C76" s="35" t="s">
        <v>65</v>
      </c>
      <c r="D76" s="35"/>
      <c r="E76" s="35"/>
      <c r="F76" s="35"/>
    </row>
    <row r="77" spans="1:7">
      <c r="A77" s="3" t="s">
        <v>82</v>
      </c>
      <c r="B77" s="3" t="s">
        <v>76</v>
      </c>
      <c r="C77" s="33"/>
      <c r="D77" s="34"/>
      <c r="E77" s="4" t="s">
        <v>63</v>
      </c>
      <c r="F77" s="27"/>
    </row>
    <row r="78" spans="1:7">
      <c r="C78" s="5" t="s">
        <v>71</v>
      </c>
      <c r="D78" s="6"/>
      <c r="E78" s="4" t="s">
        <v>70</v>
      </c>
      <c r="F78" s="4"/>
    </row>
    <row r="79" spans="1:7">
      <c r="B79" s="3"/>
      <c r="C79" s="7"/>
      <c r="D79" s="7"/>
      <c r="E79" s="7"/>
      <c r="F79" s="7"/>
    </row>
    <row r="80" spans="1:7">
      <c r="B80" s="3"/>
      <c r="C80" s="35" t="s">
        <v>72</v>
      </c>
      <c r="D80" s="35"/>
      <c r="E80" s="35"/>
      <c r="F80" s="35"/>
    </row>
    <row r="81" spans="1:6">
      <c r="A81" s="3" t="s">
        <v>83</v>
      </c>
      <c r="B81" s="3" t="s">
        <v>73</v>
      </c>
      <c r="C81" s="31"/>
      <c r="D81" s="32"/>
      <c r="E81" s="7"/>
      <c r="F81" s="7"/>
    </row>
    <row r="82" spans="1:6">
      <c r="A82" s="3" t="s">
        <v>66</v>
      </c>
    </row>
  </sheetData>
  <sheetProtection password="E7EF" sheet="1" objects="1" scenarios="1" formatCells="0" formatColumns="0" formatRows="0"/>
  <mergeCells count="10">
    <mergeCell ref="E3:F3"/>
    <mergeCell ref="C4:F4"/>
    <mergeCell ref="C68:F68"/>
    <mergeCell ref="C81:D81"/>
    <mergeCell ref="C69:D69"/>
    <mergeCell ref="C72:F72"/>
    <mergeCell ref="C73:D73"/>
    <mergeCell ref="C76:F76"/>
    <mergeCell ref="C77:D77"/>
    <mergeCell ref="C80:F80"/>
  </mergeCells>
  <dataValidations count="3">
    <dataValidation type="date" operator="notEqual" allowBlank="1" showInputMessage="1" showErrorMessage="1" errorTitle="Ошибка ввода" error="Введите дату." sqref="F77 F69:G69 F73">
      <formula1>73050</formula1>
    </dataValidation>
    <dataValidation type="whole" operator="notEqual" allowBlank="1" showInputMessage="1" showErrorMessage="1" errorTitle="Ошибка ввода" error="Введите целое число." sqref="E10:F10 E12:F32 E36:F47 E51:F51 E61:F62 E53:F59">
      <formula1>-1234567890</formula1>
    </dataValidation>
    <dataValidation operator="notEqual" allowBlank="1" showInputMessage="1" showErrorMessage="1" sqref="C81:D81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Нуриддин Байдеуов</dc:creator>
  <cp:lastModifiedBy>Бахтияр Аюпов</cp:lastModifiedBy>
  <dcterms:created xsi:type="dcterms:W3CDTF">2016-04-29T09:41:27Z</dcterms:created>
  <dcterms:modified xsi:type="dcterms:W3CDTF">2016-10-20T03:33:09Z</dcterms:modified>
</cp:coreProperties>
</file>