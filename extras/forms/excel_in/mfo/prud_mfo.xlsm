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35" windowWidth="27795" windowHeight="13605"/>
  </bookViews>
  <sheets>
    <sheet name="Расчет пруд. норм." sheetId="1" r:id="rId1"/>
  </sheets>
  <calcPr calcId="144525"/>
</workbook>
</file>

<file path=xl/calcChain.xml><?xml version="1.0" encoding="utf-8"?>
<calcChain xmlns="http://schemas.openxmlformats.org/spreadsheetml/2006/main">
  <c r="H17" i="1" l="1"/>
  <c r="H25" i="1" l="1"/>
  <c r="H23" i="1"/>
  <c r="H19" i="1"/>
</calcChain>
</file>

<file path=xl/sharedStrings.xml><?xml version="1.0" encoding="utf-8"?>
<sst xmlns="http://schemas.openxmlformats.org/spreadsheetml/2006/main" count="84" uniqueCount="62">
  <si>
    <t>Приложение
к Пруденциальным
нормативам  и иным обязательным к соблюдению микрофинансовой организацией нормам и лимитам и методике их расчетов, а также формам и срокам представления отчетности об их выполнении</t>
  </si>
  <si>
    <t xml:space="preserve">Отчет о выполнении пруденциальных нормативов и иных обязательных для соблюдения норм и лимитов </t>
  </si>
  <si>
    <t>(в тысячах тенге)</t>
  </si>
  <si>
    <t>№ п/п</t>
  </si>
  <si>
    <t>Наименование статей</t>
  </si>
  <si>
    <t>Сумма</t>
  </si>
  <si>
    <t>1</t>
  </si>
  <si>
    <t>Оплаченный уставный капитал</t>
  </si>
  <si>
    <t>2</t>
  </si>
  <si>
    <t>Дополнительный капитал</t>
  </si>
  <si>
    <t>Нераспределенная чистая прибыль (убыток) прошлых лет</t>
  </si>
  <si>
    <t>Фонды, резервы, сформированные за счет чистого дохода прошлых лет</t>
  </si>
  <si>
    <t>Нераспределенная чистая прибыль (убыток) отчетного периода</t>
  </si>
  <si>
    <t xml:space="preserve">Переоценка основных средств </t>
  </si>
  <si>
    <t>Нематериальные активы, за исключением лицензионного программного обеспечения, приобретенного для целей основной деятельности микрофинансовой организации</t>
  </si>
  <si>
    <t>Инвестиции в акции или доли участия в уставном капитале кредитных бюро, микрофинансовых организаций, организаций, оказывающих услуги по инкассации банкнот, монет и ценностей, и организаций, имеющих лицензию на охранную деятельность</t>
  </si>
  <si>
    <t>Расчетный собственный капитал микрофинансовой организации</t>
  </si>
  <si>
    <t>10</t>
  </si>
  <si>
    <t>Активы по балансу микрофинансовой организации</t>
  </si>
  <si>
    <t>Коэффициент достаточности собственного капитала k1</t>
  </si>
  <si>
    <t>12*</t>
  </si>
  <si>
    <t>Совокупная задолженность одного заемщика перед микрофинансовой организацией (включая списанные с баланса организации)</t>
  </si>
  <si>
    <t>13*</t>
  </si>
  <si>
    <t>Обеспечение заемщика в виде аффинированных драгоценных металлов, соответствующие международным стандартам качества, принятым Лондонской ассоциацией рынка драгоценных металлов (London billion market association) и обозначенным в документах данной ассоциации как стандарт «Лондонская качественная поставка» («London good delivery»)</t>
  </si>
  <si>
    <t>14*</t>
  </si>
  <si>
    <t>Обеспечение заемщика в виде гарантии банков, имеющих долгосрочный долговой рейтинг не ниже «А» агентства Standard &amp; Poor's или рейтинг аналогичного уровня одного из других рейтинговых агентств</t>
  </si>
  <si>
    <t>15*</t>
  </si>
  <si>
    <t>Коэффициент максимального размера риска на одного заемщика k2</t>
  </si>
  <si>
    <t>Совокупные обязательства микрофинансовой организации, за исключением обязательств перед нерезидентами Республики Казахстан, являющимися международными финансовыми организациями</t>
  </si>
  <si>
    <t>Коэффициент максимального лимита совокупных обязательств k3</t>
  </si>
  <si>
    <t>Совокупный размер микрокредитов микрофинансовой организации</t>
  </si>
  <si>
    <t>* по строкам 12, 13, 14 и 15 представляется информация по заемщику с максимальной совокупной задолженностью перед микрофинансовой организацией</t>
  </si>
  <si>
    <t>3</t>
  </si>
  <si>
    <t>4</t>
  </si>
  <si>
    <t>5</t>
  </si>
  <si>
    <t>6</t>
  </si>
  <si>
    <t>7</t>
  </si>
  <si>
    <t>8</t>
  </si>
  <si>
    <t>12</t>
  </si>
  <si>
    <t>13</t>
  </si>
  <si>
    <t>14</t>
  </si>
  <si>
    <t>16</t>
  </si>
  <si>
    <t>18</t>
  </si>
  <si>
    <t xml:space="preserve">Первый руководитель (на период его отсутствия - лицо, его замещающее) </t>
  </si>
  <si>
    <t>___________________</t>
  </si>
  <si>
    <t>(фамилия, имя, при наличии - отчество)</t>
  </si>
  <si>
    <t>(подпись)</t>
  </si>
  <si>
    <t>Главный бухгалтер</t>
  </si>
  <si>
    <t xml:space="preserve">Исполнитель </t>
  </si>
  <si>
    <t>end</t>
  </si>
  <si>
    <t>(должность, фамилия и имя)</t>
  </si>
  <si>
    <t>(номер телефона)</t>
  </si>
  <si>
    <t>Дата подписания отчета</t>
  </si>
  <si>
    <t>Место для печати</t>
  </si>
  <si>
    <t>array</t>
  </si>
  <si>
    <t>v</t>
  </si>
  <si>
    <t>begin</t>
  </si>
  <si>
    <t>//{"excelCells": [{"name": "signature_date", "type": "d", "position": "3"}]}</t>
  </si>
  <si>
    <t>{"excelCells": [{"name": "drafted_by", "type": "s", "position": "3"},{"name": "drafted_by_tel", "type": "s", "position": "6"}]}</t>
  </si>
  <si>
    <t>{"excelCells": [{"name": "chief_accountant", "type": "s", "position": "3"}]}</t>
  </si>
  <si>
    <t>{"excelCells": [{"name": "ceo", "type": "s", "position": "3"}]}</t>
  </si>
  <si>
    <t>{"form": "prud_mfo", "xls_version":"2","begin_date":"01.07.2016", "tables": [{"name": "array", "key": "n", "position": "1","positionKey": "2","columns": [
{"name": "v3", "type": "n0", "position": "7"}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</si>
</sst>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_)"/>
    <numFmt numFmtId="165" formatCode="#,##0.000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8"/>
      <name val="Times New Roman"/>
      <family val="1"/>
      <charset val="204"/>
    </font>
    <font>
      <sz val="10"/>
      <name val="Courier"/>
      <family val="3"/>
    </font>
    <font>
      <b/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0" borderId="0"/>
    <xf numFmtId="164" fontId="4" fillId="0" borderId="0"/>
    <xf numFmtId="0" fontId="6" fillId="0" borderId="0"/>
    <xf numFmtId="0" fontId="2" fillId="0" borderId="0"/>
  </cellStyleXfs>
  <cellXfs count="44">
    <xf numFmtId="0" fontId="0" fillId="0" borderId="0" xfId="0"/>
    <xf numFmtId="3" fontId="7" fillId="0" borderId="0" xfId="4" applyNumberFormat="1" applyFont="1" applyFill="1" applyAlignment="1" applyProtection="1">
      <alignment horizontal="right" vertical="center" wrapText="1"/>
    </xf>
    <xf numFmtId="0" fontId="5" fillId="3" borderId="1" xfId="1" applyFont="1" applyFill="1" applyBorder="1" applyAlignment="1" applyProtection="1">
      <alignment horizontal="center" vertical="center" wrapText="1"/>
    </xf>
    <xf numFmtId="3" fontId="7" fillId="4" borderId="1" xfId="4" applyNumberFormat="1" applyFont="1" applyFill="1" applyBorder="1" applyAlignment="1" applyProtection="1">
      <alignment horizontal="right" vertical="center"/>
      <protection locked="0"/>
    </xf>
    <xf numFmtId="0" fontId="7" fillId="0" borderId="0" xfId="5" applyFont="1" applyProtection="1"/>
    <xf numFmtId="0" fontId="7" fillId="0" borderId="0" xfId="5" applyFont="1" applyFill="1" applyAlignment="1" applyProtection="1">
      <alignment horizontal="left"/>
    </xf>
    <xf numFmtId="0" fontId="7" fillId="0" borderId="0" xfId="5" applyFont="1" applyFill="1" applyAlignment="1" applyProtection="1">
      <alignment horizontal="center"/>
    </xf>
    <xf numFmtId="0" fontId="8" fillId="0" borderId="0" xfId="0" applyFont="1" applyFill="1" applyAlignment="1" applyProtection="1">
      <alignment horizontal="left"/>
    </xf>
    <xf numFmtId="0" fontId="7" fillId="0" borderId="0" xfId="5" applyFont="1" applyFill="1" applyProtection="1"/>
    <xf numFmtId="0" fontId="7" fillId="0" borderId="0" xfId="5" applyFont="1" applyFill="1" applyAlignment="1" applyProtection="1"/>
    <xf numFmtId="0" fontId="7" fillId="0" borderId="0" xfId="5" applyFont="1" applyFill="1" applyAlignment="1" applyProtection="1">
      <alignment wrapText="1"/>
    </xf>
    <xf numFmtId="0" fontId="7" fillId="0" borderId="0" xfId="2" applyFont="1" applyFill="1" applyAlignment="1" applyProtection="1"/>
    <xf numFmtId="0" fontId="9" fillId="0" borderId="0" xfId="0" applyFont="1" applyAlignment="1" applyProtection="1">
      <alignment horizontal="center" vertical="top"/>
    </xf>
    <xf numFmtId="0" fontId="8" fillId="0" borderId="0" xfId="0" applyFont="1" applyAlignment="1" applyProtection="1">
      <alignment wrapText="1"/>
    </xf>
    <xf numFmtId="0" fontId="8" fillId="0" borderId="0" xfId="0" applyFont="1" applyProtection="1"/>
    <xf numFmtId="0" fontId="3" fillId="0" borderId="0" xfId="2" applyFont="1" applyFill="1" applyAlignment="1" applyProtection="1">
      <alignment horizontal="right" vertical="center" wrapText="1"/>
    </xf>
    <xf numFmtId="164" fontId="7" fillId="0" borderId="0" xfId="3" applyFont="1" applyFill="1" applyAlignment="1" applyProtection="1">
      <alignment horizontal="center" vertical="top" wrapText="1" shrinkToFit="1"/>
    </xf>
    <xf numFmtId="0" fontId="7" fillId="0" borderId="0" xfId="0" applyFont="1" applyFill="1" applyAlignment="1" applyProtection="1">
      <alignment vertical="top" wrapText="1" shrinkToFit="1"/>
    </xf>
    <xf numFmtId="49" fontId="8" fillId="0" borderId="0" xfId="0" applyNumberFormat="1" applyFont="1" applyProtection="1"/>
    <xf numFmtId="49" fontId="7" fillId="0" borderId="1" xfId="4" applyNumberFormat="1" applyFont="1" applyFill="1" applyBorder="1" applyAlignment="1" applyProtection="1">
      <alignment horizontal="center" vertical="top" wrapText="1"/>
    </xf>
    <xf numFmtId="0" fontId="7" fillId="0" borderId="1" xfId="4" applyFont="1" applyFill="1" applyBorder="1" applyAlignment="1" applyProtection="1">
      <alignment horizontal="center" vertical="top" wrapText="1"/>
    </xf>
    <xf numFmtId="0" fontId="9" fillId="0" borderId="0" xfId="0" applyFont="1" applyAlignment="1" applyProtection="1">
      <alignment horizontal="center" vertical="center"/>
    </xf>
    <xf numFmtId="165" fontId="5" fillId="0" borderId="1" xfId="2" applyNumberFormat="1" applyFont="1" applyFill="1" applyBorder="1" applyAlignment="1" applyProtection="1">
      <alignment horizontal="right" vertical="center"/>
    </xf>
    <xf numFmtId="165" fontId="5" fillId="0" borderId="1" xfId="4" applyNumberFormat="1" applyFont="1" applyFill="1" applyBorder="1" applyAlignment="1" applyProtection="1">
      <alignment horizontal="right" vertical="center"/>
    </xf>
    <xf numFmtId="3" fontId="5" fillId="0" borderId="2" xfId="4" applyNumberFormat="1" applyFont="1" applyFill="1" applyBorder="1" applyAlignment="1" applyProtection="1">
      <alignment horizontal="right" vertical="center"/>
    </xf>
    <xf numFmtId="14" fontId="7" fillId="0" borderId="0" xfId="5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7" fillId="0" borderId="3" xfId="4" applyFont="1" applyFill="1" applyBorder="1" applyAlignment="1" applyProtection="1">
      <alignment horizontal="left" vertical="top" wrapText="1"/>
    </xf>
    <xf numFmtId="0" fontId="9" fillId="0" borderId="4" xfId="0" applyFont="1" applyBorder="1" applyAlignment="1" applyProtection="1">
      <alignment horizontal="left" vertical="top" wrapText="1"/>
    </xf>
    <xf numFmtId="0" fontId="9" fillId="0" borderId="5" xfId="0" applyFont="1" applyBorder="1" applyAlignment="1" applyProtection="1">
      <alignment horizontal="left" vertical="top" wrapText="1"/>
    </xf>
    <xf numFmtId="0" fontId="7" fillId="0" borderId="0" xfId="5" applyFont="1" applyFill="1" applyAlignment="1" applyProtection="1">
      <alignment horizontal="center" vertical="top"/>
    </xf>
    <xf numFmtId="0" fontId="9" fillId="0" borderId="0" xfId="0" applyFont="1" applyAlignment="1" applyProtection="1">
      <alignment horizontal="center" vertical="top"/>
    </xf>
    <xf numFmtId="0" fontId="7" fillId="0" borderId="0" xfId="4" applyFont="1" applyFill="1" applyBorder="1" applyAlignment="1" applyProtection="1">
      <alignment horizontal="left" vertical="top" wrapText="1" shrinkToFit="1"/>
    </xf>
    <xf numFmtId="0" fontId="7" fillId="0" borderId="0" xfId="0" applyFont="1" applyFill="1" applyBorder="1" applyAlignment="1" applyProtection="1">
      <alignment horizontal="left" wrapText="1" shrinkToFit="1"/>
    </xf>
    <xf numFmtId="0" fontId="9" fillId="0" borderId="0" xfId="0" applyFont="1" applyAlignment="1" applyProtection="1"/>
    <xf numFmtId="164" fontId="5" fillId="0" borderId="0" xfId="3" applyFont="1" applyFill="1" applyAlignment="1" applyProtection="1">
      <alignment horizontal="center" vertical="center" wrapText="1" shrinkToFit="1"/>
    </xf>
    <xf numFmtId="0" fontId="0" fillId="0" borderId="0" xfId="0" applyAlignment="1" applyProtection="1">
      <alignment horizontal="center" vertical="center" wrapText="1"/>
    </xf>
    <xf numFmtId="0" fontId="5" fillId="3" borderId="3" xfId="1" applyFont="1" applyFill="1" applyBorder="1" applyAlignment="1" applyProtection="1">
      <alignment horizontal="center" vertical="center" wrapText="1"/>
    </xf>
    <xf numFmtId="0" fontId="9" fillId="0" borderId="4" xfId="0" applyFont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  <xf numFmtId="49" fontId="7" fillId="4" borderId="0" xfId="5" applyNumberFormat="1" applyFont="1" applyFill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8" fillId="4" borderId="0" xfId="0" applyNumberFormat="1" applyFont="1" applyFill="1" applyAlignment="1" applyProtection="1">
      <alignment horizontal="center" vertical="center"/>
      <protection locked="0"/>
    </xf>
    <xf numFmtId="49" fontId="9" fillId="0" borderId="0" xfId="0" applyNumberFormat="1" applyFont="1" applyAlignment="1" applyProtection="1">
      <protection locked="0"/>
    </xf>
  </cellXfs>
  <cellStyles count="6">
    <cellStyle name="Акцент1" xfId="1" builtinId="29"/>
    <cellStyle name="Обычный" xfId="0" builtinId="0"/>
    <cellStyle name="Обычный 2" xfId="5"/>
    <cellStyle name="Обычный_Алгоритм пруд.норм.для ИК" xfId="2"/>
    <cellStyle name="Обычный_К1,К2,К3,К4,К5" xfId="3"/>
    <cellStyle name="Обычный_формы по прудикам для ИКl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5"/>
  <sheetViews>
    <sheetView tabSelected="1" zoomScale="115" zoomScaleNormal="115" workbookViewId="0">
      <pane ySplit="8" topLeftCell="A9" activePane="bottomLeft" state="frozen"/>
      <selection pane="bottomLeft" activeCell="H9" sqref="H9"/>
    </sheetView>
  </sheetViews>
  <sheetFormatPr defaultColWidth="0" defaultRowHeight="12.75" x14ac:dyDescent="0.2"/>
  <cols>
    <col min="1" max="3" width="9.140625" style="14" hidden="1" customWidth="1"/>
    <col min="4" max="4" width="6.28515625" style="14" customWidth="1"/>
    <col min="5" max="5" width="33.140625" style="14" customWidth="1"/>
    <col min="6" max="7" width="18.28515625" style="14" customWidth="1"/>
    <col min="8" max="8" width="22.7109375" style="14" customWidth="1"/>
    <col min="9" max="12" width="0" style="14" hidden="1" customWidth="1"/>
    <col min="13" max="16384" width="9.140625" style="14" hidden="1"/>
  </cols>
  <sheetData>
    <row r="1" spans="1:8" ht="44.25" hidden="1" customHeight="1" x14ac:dyDescent="0.2">
      <c r="A1" s="13" t="s">
        <v>61</v>
      </c>
    </row>
    <row r="2" spans="1:8" hidden="1" x14ac:dyDescent="0.2">
      <c r="A2" s="14" t="s">
        <v>56</v>
      </c>
    </row>
    <row r="3" spans="1:8" ht="94.5" customHeight="1" x14ac:dyDescent="0.2">
      <c r="D3" s="11"/>
      <c r="E3" s="11"/>
      <c r="F3" s="11"/>
      <c r="G3" s="11"/>
      <c r="H3" s="15" t="s">
        <v>0</v>
      </c>
    </row>
    <row r="4" spans="1:8" ht="31.5" customHeight="1" x14ac:dyDescent="0.2">
      <c r="D4" s="35" t="s">
        <v>1</v>
      </c>
      <c r="E4" s="36"/>
      <c r="F4" s="36"/>
      <c r="G4" s="36"/>
      <c r="H4" s="36"/>
    </row>
    <row r="5" spans="1:8" ht="14.25" customHeight="1" x14ac:dyDescent="0.2">
      <c r="D5" s="11"/>
      <c r="E5" s="16"/>
      <c r="F5" s="16"/>
      <c r="G5" s="16"/>
      <c r="H5" s="17"/>
    </row>
    <row r="6" spans="1:8" ht="15" customHeight="1" x14ac:dyDescent="0.2">
      <c r="D6" s="11"/>
      <c r="E6" s="11"/>
      <c r="F6" s="11"/>
      <c r="G6" s="11"/>
      <c r="H6" s="1" t="s">
        <v>2</v>
      </c>
    </row>
    <row r="7" spans="1:8" ht="24" customHeight="1" x14ac:dyDescent="0.2">
      <c r="D7" s="2" t="s">
        <v>3</v>
      </c>
      <c r="E7" s="37" t="s">
        <v>4</v>
      </c>
      <c r="F7" s="38"/>
      <c r="G7" s="39"/>
      <c r="H7" s="2" t="s">
        <v>5</v>
      </c>
    </row>
    <row r="8" spans="1:8" x14ac:dyDescent="0.2">
      <c r="B8" s="4" t="s">
        <v>54</v>
      </c>
      <c r="D8" s="2">
        <v>1</v>
      </c>
      <c r="E8" s="37">
        <v>2</v>
      </c>
      <c r="F8" s="38"/>
      <c r="G8" s="39"/>
      <c r="H8" s="2">
        <v>3</v>
      </c>
    </row>
    <row r="9" spans="1:8" x14ac:dyDescent="0.2">
      <c r="B9" s="14" t="s">
        <v>55</v>
      </c>
      <c r="C9" s="18" t="s">
        <v>6</v>
      </c>
      <c r="D9" s="19" t="s">
        <v>6</v>
      </c>
      <c r="E9" s="27" t="s">
        <v>7</v>
      </c>
      <c r="F9" s="28"/>
      <c r="G9" s="29"/>
      <c r="H9" s="3"/>
    </row>
    <row r="10" spans="1:8" x14ac:dyDescent="0.2">
      <c r="B10" s="14" t="s">
        <v>55</v>
      </c>
      <c r="C10" s="18" t="s">
        <v>8</v>
      </c>
      <c r="D10" s="19" t="s">
        <v>8</v>
      </c>
      <c r="E10" s="27" t="s">
        <v>9</v>
      </c>
      <c r="F10" s="28"/>
      <c r="G10" s="29"/>
      <c r="H10" s="3"/>
    </row>
    <row r="11" spans="1:8" x14ac:dyDescent="0.2">
      <c r="B11" s="14" t="s">
        <v>55</v>
      </c>
      <c r="C11" s="18" t="s">
        <v>32</v>
      </c>
      <c r="D11" s="20">
        <v>3</v>
      </c>
      <c r="E11" s="27" t="s">
        <v>10</v>
      </c>
      <c r="F11" s="28"/>
      <c r="G11" s="29"/>
      <c r="H11" s="3"/>
    </row>
    <row r="12" spans="1:8" x14ac:dyDescent="0.2">
      <c r="B12" s="14" t="s">
        <v>55</v>
      </c>
      <c r="C12" s="18" t="s">
        <v>33</v>
      </c>
      <c r="D12" s="20">
        <v>4</v>
      </c>
      <c r="E12" s="27" t="s">
        <v>11</v>
      </c>
      <c r="F12" s="28"/>
      <c r="G12" s="29"/>
      <c r="H12" s="3"/>
    </row>
    <row r="13" spans="1:8" x14ac:dyDescent="0.2">
      <c r="B13" s="14" t="s">
        <v>55</v>
      </c>
      <c r="C13" s="18" t="s">
        <v>34</v>
      </c>
      <c r="D13" s="20">
        <v>5</v>
      </c>
      <c r="E13" s="27" t="s">
        <v>12</v>
      </c>
      <c r="F13" s="28"/>
      <c r="G13" s="29"/>
      <c r="H13" s="3"/>
    </row>
    <row r="14" spans="1:8" x14ac:dyDescent="0.2">
      <c r="B14" s="14" t="s">
        <v>55</v>
      </c>
      <c r="C14" s="18" t="s">
        <v>35</v>
      </c>
      <c r="D14" s="20">
        <v>6</v>
      </c>
      <c r="E14" s="27" t="s">
        <v>13</v>
      </c>
      <c r="F14" s="28"/>
      <c r="G14" s="29"/>
      <c r="H14" s="3"/>
    </row>
    <row r="15" spans="1:8" ht="30" customHeight="1" x14ac:dyDescent="0.2">
      <c r="B15" s="14" t="s">
        <v>55</v>
      </c>
      <c r="C15" s="18" t="s">
        <v>36</v>
      </c>
      <c r="D15" s="20">
        <v>7</v>
      </c>
      <c r="E15" s="27" t="s">
        <v>14</v>
      </c>
      <c r="F15" s="28"/>
      <c r="G15" s="29"/>
      <c r="H15" s="3"/>
    </row>
    <row r="16" spans="1:8" ht="56.25" customHeight="1" x14ac:dyDescent="0.2">
      <c r="B16" s="14" t="s">
        <v>55</v>
      </c>
      <c r="C16" s="18" t="s">
        <v>37</v>
      </c>
      <c r="D16" s="20">
        <v>8</v>
      </c>
      <c r="E16" s="27" t="s">
        <v>15</v>
      </c>
      <c r="F16" s="28"/>
      <c r="G16" s="29"/>
      <c r="H16" s="3"/>
    </row>
    <row r="17" spans="1:12" x14ac:dyDescent="0.2">
      <c r="C17" s="18"/>
      <c r="D17" s="20">
        <v>9</v>
      </c>
      <c r="E17" s="27" t="s">
        <v>16</v>
      </c>
      <c r="F17" s="28"/>
      <c r="G17" s="29"/>
      <c r="H17" s="24">
        <f>H9+H10+H11+H12+H13+H14-H15-H16</f>
        <v>0</v>
      </c>
    </row>
    <row r="18" spans="1:12" x14ac:dyDescent="0.2">
      <c r="B18" s="14" t="s">
        <v>55</v>
      </c>
      <c r="C18" s="18" t="s">
        <v>17</v>
      </c>
      <c r="D18" s="19" t="s">
        <v>17</v>
      </c>
      <c r="E18" s="27" t="s">
        <v>18</v>
      </c>
      <c r="F18" s="28"/>
      <c r="G18" s="29"/>
      <c r="H18" s="3"/>
    </row>
    <row r="19" spans="1:12" x14ac:dyDescent="0.2">
      <c r="C19" s="18"/>
      <c r="D19" s="20">
        <v>11</v>
      </c>
      <c r="E19" s="27" t="s">
        <v>19</v>
      </c>
      <c r="F19" s="28"/>
      <c r="G19" s="29"/>
      <c r="H19" s="22" t="e">
        <f>H17/H18</f>
        <v>#DIV/0!</v>
      </c>
    </row>
    <row r="20" spans="1:12" ht="30" customHeight="1" x14ac:dyDescent="0.2">
      <c r="B20" s="14" t="s">
        <v>55</v>
      </c>
      <c r="C20" s="18" t="s">
        <v>38</v>
      </c>
      <c r="D20" s="20" t="s">
        <v>20</v>
      </c>
      <c r="E20" s="27" t="s">
        <v>21</v>
      </c>
      <c r="F20" s="28"/>
      <c r="G20" s="29"/>
      <c r="H20" s="3"/>
    </row>
    <row r="21" spans="1:12" ht="68.25" customHeight="1" x14ac:dyDescent="0.2">
      <c r="B21" s="14" t="s">
        <v>55</v>
      </c>
      <c r="C21" s="18" t="s">
        <v>39</v>
      </c>
      <c r="D21" s="20" t="s">
        <v>22</v>
      </c>
      <c r="E21" s="27" t="s">
        <v>23</v>
      </c>
      <c r="F21" s="28"/>
      <c r="G21" s="29"/>
      <c r="H21" s="3"/>
    </row>
    <row r="22" spans="1:12" ht="44.25" customHeight="1" x14ac:dyDescent="0.2">
      <c r="B22" s="14" t="s">
        <v>55</v>
      </c>
      <c r="C22" s="18" t="s">
        <v>40</v>
      </c>
      <c r="D22" s="20" t="s">
        <v>24</v>
      </c>
      <c r="E22" s="27" t="s">
        <v>25</v>
      </c>
      <c r="F22" s="28"/>
      <c r="G22" s="29"/>
      <c r="H22" s="3"/>
    </row>
    <row r="23" spans="1:12" x14ac:dyDescent="0.2">
      <c r="C23" s="18"/>
      <c r="D23" s="20" t="s">
        <v>26</v>
      </c>
      <c r="E23" s="27" t="s">
        <v>27</v>
      </c>
      <c r="F23" s="28"/>
      <c r="G23" s="29"/>
      <c r="H23" s="23" t="e">
        <f>(H20-H21-H22)/H17</f>
        <v>#DIV/0!</v>
      </c>
    </row>
    <row r="24" spans="1:12" ht="42" customHeight="1" x14ac:dyDescent="0.2">
      <c r="B24" s="14" t="s">
        <v>55</v>
      </c>
      <c r="C24" s="18" t="s">
        <v>41</v>
      </c>
      <c r="D24" s="20">
        <v>16</v>
      </c>
      <c r="E24" s="27" t="s">
        <v>28</v>
      </c>
      <c r="F24" s="28"/>
      <c r="G24" s="29"/>
      <c r="H24" s="3"/>
    </row>
    <row r="25" spans="1:12" x14ac:dyDescent="0.2">
      <c r="C25" s="18"/>
      <c r="D25" s="20">
        <v>17</v>
      </c>
      <c r="E25" s="27" t="s">
        <v>29</v>
      </c>
      <c r="F25" s="28"/>
      <c r="G25" s="29"/>
      <c r="H25" s="23" t="e">
        <f>H24/H17</f>
        <v>#DIV/0!</v>
      </c>
    </row>
    <row r="26" spans="1:12" x14ac:dyDescent="0.2">
      <c r="B26" s="14" t="s">
        <v>55</v>
      </c>
      <c r="C26" s="18" t="s">
        <v>42</v>
      </c>
      <c r="D26" s="20">
        <v>18</v>
      </c>
      <c r="E26" s="27" t="s">
        <v>30</v>
      </c>
      <c r="F26" s="28"/>
      <c r="G26" s="29"/>
      <c r="H26" s="3"/>
    </row>
    <row r="27" spans="1:12" x14ac:dyDescent="0.2">
      <c r="B27" s="4" t="s">
        <v>49</v>
      </c>
    </row>
    <row r="28" spans="1:12" ht="30" customHeight="1" x14ac:dyDescent="0.2">
      <c r="D28" s="32" t="s">
        <v>31</v>
      </c>
      <c r="E28" s="33"/>
      <c r="F28" s="33"/>
      <c r="G28" s="33"/>
      <c r="H28" s="33"/>
    </row>
    <row r="30" spans="1:12" x14ac:dyDescent="0.2">
      <c r="C30" s="4"/>
      <c r="D30" s="5" t="s">
        <v>43</v>
      </c>
      <c r="E30" s="5"/>
      <c r="F30" s="5"/>
      <c r="G30" s="5"/>
      <c r="H30" s="5"/>
      <c r="I30" s="5"/>
      <c r="J30" s="5"/>
      <c r="K30" s="5"/>
      <c r="L30" s="5"/>
    </row>
    <row r="31" spans="1:12" x14ac:dyDescent="0.2">
      <c r="A31" s="4" t="s">
        <v>60</v>
      </c>
      <c r="D31" s="40"/>
      <c r="E31" s="41"/>
      <c r="F31" s="6" t="s">
        <v>44</v>
      </c>
      <c r="J31" s="7"/>
      <c r="K31" s="7"/>
      <c r="L31" s="7"/>
    </row>
    <row r="32" spans="1:12" x14ac:dyDescent="0.2">
      <c r="B32" s="4"/>
      <c r="D32" s="30" t="s">
        <v>45</v>
      </c>
      <c r="E32" s="31"/>
      <c r="F32" s="6" t="s">
        <v>46</v>
      </c>
      <c r="J32" s="5"/>
      <c r="K32" s="5"/>
      <c r="L32" s="5"/>
    </row>
    <row r="33" spans="1:12" x14ac:dyDescent="0.2">
      <c r="B33" s="4"/>
      <c r="D33" s="8"/>
      <c r="E33" s="8"/>
      <c r="F33" s="8"/>
      <c r="J33" s="8"/>
      <c r="K33" s="8"/>
      <c r="L33" s="8"/>
    </row>
    <row r="34" spans="1:12" x14ac:dyDescent="0.2">
      <c r="B34" s="4"/>
      <c r="D34" s="5" t="s">
        <v>47</v>
      </c>
      <c r="E34" s="5"/>
      <c r="F34" s="5"/>
      <c r="J34" s="5"/>
      <c r="K34" s="5"/>
      <c r="L34" s="5"/>
    </row>
    <row r="35" spans="1:12" x14ac:dyDescent="0.2">
      <c r="A35" s="4" t="s">
        <v>59</v>
      </c>
      <c r="D35" s="40"/>
      <c r="E35" s="41"/>
      <c r="F35" s="6" t="s">
        <v>44</v>
      </c>
      <c r="J35" s="7"/>
      <c r="K35" s="7"/>
      <c r="L35" s="7"/>
    </row>
    <row r="36" spans="1:12" x14ac:dyDescent="0.2">
      <c r="B36" s="4"/>
      <c r="D36" s="30" t="s">
        <v>45</v>
      </c>
      <c r="E36" s="31"/>
      <c r="F36" s="6" t="s">
        <v>46</v>
      </c>
      <c r="J36" s="5"/>
      <c r="K36" s="5"/>
    </row>
    <row r="37" spans="1:12" x14ac:dyDescent="0.2">
      <c r="B37" s="4"/>
      <c r="D37" s="8"/>
      <c r="E37" s="8"/>
      <c r="F37" s="8"/>
      <c r="J37" s="8"/>
      <c r="K37" s="8"/>
    </row>
    <row r="38" spans="1:12" x14ac:dyDescent="0.2">
      <c r="B38" s="4"/>
      <c r="D38" s="5" t="s">
        <v>48</v>
      </c>
      <c r="E38" s="5"/>
      <c r="F38" s="5"/>
      <c r="J38" s="5"/>
      <c r="K38" s="5"/>
      <c r="L38" s="5"/>
    </row>
    <row r="39" spans="1:12" x14ac:dyDescent="0.2">
      <c r="A39" s="4" t="s">
        <v>58</v>
      </c>
      <c r="D39" s="40"/>
      <c r="E39" s="41"/>
      <c r="F39" s="6" t="s">
        <v>44</v>
      </c>
      <c r="G39" s="42"/>
      <c r="H39" s="43"/>
      <c r="I39" s="21"/>
    </row>
    <row r="40" spans="1:12" x14ac:dyDescent="0.2">
      <c r="B40" s="4"/>
      <c r="D40" s="30" t="s">
        <v>50</v>
      </c>
      <c r="E40" s="31"/>
      <c r="F40" s="6" t="s">
        <v>46</v>
      </c>
      <c r="G40" s="30" t="s">
        <v>51</v>
      </c>
      <c r="H40" s="34"/>
      <c r="I40" s="12"/>
    </row>
    <row r="41" spans="1:12" x14ac:dyDescent="0.2">
      <c r="C41" s="4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B42" s="4"/>
      <c r="C42" s="4"/>
      <c r="D42" s="9" t="s">
        <v>52</v>
      </c>
      <c r="E42" s="10"/>
    </row>
    <row r="43" spans="1:12" ht="15" x14ac:dyDescent="0.25">
      <c r="A43" s="4" t="s">
        <v>57</v>
      </c>
      <c r="C43" s="4"/>
      <c r="D43" s="25"/>
      <c r="E43" s="26"/>
    </row>
    <row r="44" spans="1:12" ht="15" x14ac:dyDescent="0.25">
      <c r="A44" s="4" t="s">
        <v>49</v>
      </c>
      <c r="C44" s="4"/>
      <c r="D44" s="25"/>
      <c r="E44" s="26"/>
    </row>
    <row r="45" spans="1:12" x14ac:dyDescent="0.2">
      <c r="B45" s="4"/>
      <c r="C45" s="4"/>
      <c r="D45" s="9" t="s">
        <v>53</v>
      </c>
      <c r="E45" s="9"/>
    </row>
  </sheetData>
  <sheetProtection password="E7EF" sheet="1" objects="1" scenarios="1" formatCells="0" formatColumns="0" formatRows="0"/>
  <mergeCells count="32">
    <mergeCell ref="D44:E44"/>
    <mergeCell ref="G39:H39"/>
    <mergeCell ref="G40:H40"/>
    <mergeCell ref="D4:H4"/>
    <mergeCell ref="E21:G21"/>
    <mergeCell ref="E22:G22"/>
    <mergeCell ref="E23:G23"/>
    <mergeCell ref="E24:G24"/>
    <mergeCell ref="E25:G25"/>
    <mergeCell ref="E26:G26"/>
    <mergeCell ref="D40:E40"/>
    <mergeCell ref="E7:G7"/>
    <mergeCell ref="E8:G8"/>
    <mergeCell ref="E18:G18"/>
    <mergeCell ref="E19:G19"/>
    <mergeCell ref="E20:G20"/>
    <mergeCell ref="D43:E43"/>
    <mergeCell ref="E9:G9"/>
    <mergeCell ref="E10:G10"/>
    <mergeCell ref="E11:G11"/>
    <mergeCell ref="E12:G12"/>
    <mergeCell ref="E13:G13"/>
    <mergeCell ref="E14:G14"/>
    <mergeCell ref="D31:E31"/>
    <mergeCell ref="D32:E32"/>
    <mergeCell ref="D35:E35"/>
    <mergeCell ref="D36:E36"/>
    <mergeCell ref="D39:E39"/>
    <mergeCell ref="E15:G15"/>
    <mergeCell ref="E16:G16"/>
    <mergeCell ref="D28:H28"/>
    <mergeCell ref="E17:G17"/>
  </mergeCells>
  <dataValidations count="2">
    <dataValidation type="whole" operator="notEqual" allowBlank="1" showInputMessage="1" showErrorMessage="1" errorTitle="Ошибка ввода" error="Введите целое число." sqref="H9:H18 H20:H22 H24 H26">
      <formula1>-1234567890</formula1>
    </dataValidation>
    <dataValidation type="date" operator="notEqual" allowBlank="1" showInputMessage="1" showErrorMessage="1" errorTitle="Ошибка ввода" error="Введите дату." sqref="D43:E44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Расчет пруд. норм.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Бауыржан Байшолаков</dc:creator>
  <cp:lastModifiedBy>Бауыржан Байшолаков</cp:lastModifiedBy>
  <cp:lastPrinted>2016-07-15T10:17:58Z</cp:lastPrinted>
  <dcterms:created xsi:type="dcterms:W3CDTF">2016-07-15T09:45:28Z</dcterms:created>
  <dcterms:modified xsi:type="dcterms:W3CDTF">2016-11-07T11:33:07Z</dcterms:modified>
</cp:coreProperties>
</file>